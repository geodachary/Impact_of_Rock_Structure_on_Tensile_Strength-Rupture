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rgaacharya/Documents/Nepal_Geology/Impact_of_Rock_Structure_on_Tensile_Strength-Rupture/"/>
    </mc:Choice>
  </mc:AlternateContent>
  <xr:revisionPtr revIDLastSave="0" documentId="13_ncr:1_{AB0C7700-3C86-3543-8C6E-7E6FA078DED0}" xr6:coauthVersionLast="47" xr6:coauthVersionMax="47" xr10:uidLastSave="{00000000-0000-0000-0000-000000000000}"/>
  <bookViews>
    <workbookView xWindow="0" yWindow="600" windowWidth="48040" windowHeight="26860" xr2:uid="{DAA96A09-7419-F74F-A2D7-B0B57583498C}"/>
  </bookViews>
  <sheets>
    <sheet name="selected_all_sampl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T2" i="1"/>
  <c r="G3" i="1"/>
  <c r="H3" i="1"/>
  <c r="T3" i="1"/>
  <c r="G4" i="1"/>
  <c r="H4" i="1"/>
  <c r="T4" i="1"/>
  <c r="G5" i="1"/>
  <c r="H5" i="1"/>
  <c r="T5" i="1"/>
  <c r="G6" i="1"/>
  <c r="H6" i="1"/>
  <c r="T6" i="1"/>
  <c r="G20" i="1"/>
  <c r="H20" i="1"/>
  <c r="T20" i="1"/>
  <c r="G7" i="1"/>
  <c r="H7" i="1"/>
  <c r="T7" i="1"/>
  <c r="G8" i="1"/>
  <c r="H8" i="1"/>
  <c r="T8" i="1"/>
  <c r="G9" i="1"/>
  <c r="H9" i="1"/>
  <c r="T9" i="1"/>
  <c r="G10" i="1"/>
  <c r="H10" i="1"/>
  <c r="T10" i="1"/>
  <c r="G12" i="1"/>
  <c r="H12" i="1"/>
  <c r="T12" i="1"/>
  <c r="G13" i="1"/>
  <c r="H13" i="1"/>
  <c r="T13" i="1"/>
  <c r="G14" i="1"/>
  <c r="H14" i="1"/>
  <c r="T14" i="1"/>
  <c r="G15" i="1"/>
  <c r="H15" i="1"/>
  <c r="T15" i="1"/>
  <c r="G16" i="1"/>
  <c r="H16" i="1"/>
  <c r="T16" i="1"/>
  <c r="G17" i="1"/>
  <c r="H17" i="1"/>
  <c r="T17" i="1"/>
  <c r="G18" i="1"/>
  <c r="H18" i="1"/>
  <c r="T18" i="1"/>
  <c r="G19" i="1"/>
  <c r="H19" i="1"/>
  <c r="T19" i="1"/>
  <c r="G21" i="1"/>
  <c r="H21" i="1"/>
  <c r="T21" i="1"/>
  <c r="G22" i="1"/>
  <c r="H22" i="1"/>
  <c r="T22" i="1"/>
  <c r="G23" i="1"/>
  <c r="H23" i="1"/>
  <c r="T23" i="1"/>
  <c r="G24" i="1"/>
  <c r="H24" i="1"/>
  <c r="T24" i="1"/>
  <c r="G25" i="1"/>
  <c r="H25" i="1"/>
  <c r="T25" i="1"/>
  <c r="G26" i="1"/>
  <c r="H26" i="1"/>
  <c r="T26" i="1"/>
  <c r="G27" i="1"/>
  <c r="H27" i="1"/>
  <c r="T27" i="1"/>
  <c r="G11" i="1"/>
  <c r="H11" i="1"/>
  <c r="T11" i="1"/>
  <c r="G28" i="1"/>
  <c r="H28" i="1"/>
  <c r="T28" i="1"/>
  <c r="G29" i="1"/>
  <c r="H29" i="1"/>
  <c r="T29" i="1"/>
  <c r="G30" i="1"/>
  <c r="H30" i="1"/>
  <c r="T30" i="1"/>
  <c r="G31" i="1"/>
  <c r="H31" i="1"/>
  <c r="T31" i="1"/>
  <c r="G32" i="1"/>
  <c r="H32" i="1"/>
  <c r="T32" i="1"/>
  <c r="G33" i="1"/>
  <c r="H33" i="1"/>
  <c r="T33" i="1"/>
  <c r="G34" i="1"/>
  <c r="H34" i="1"/>
  <c r="T34" i="1"/>
  <c r="G35" i="1"/>
  <c r="H35" i="1"/>
  <c r="T35" i="1"/>
  <c r="G36" i="1"/>
  <c r="H36" i="1"/>
  <c r="T36" i="1"/>
  <c r="G37" i="1"/>
  <c r="H37" i="1"/>
  <c r="T37" i="1"/>
  <c r="G38" i="1"/>
  <c r="H38" i="1"/>
  <c r="T38" i="1"/>
  <c r="G39" i="1"/>
  <c r="H39" i="1"/>
  <c r="T39" i="1"/>
  <c r="G40" i="1"/>
  <c r="H40" i="1"/>
  <c r="T40" i="1"/>
  <c r="G41" i="1"/>
  <c r="H41" i="1"/>
  <c r="T41" i="1"/>
  <c r="G42" i="1"/>
  <c r="H42" i="1"/>
  <c r="T42" i="1"/>
  <c r="G43" i="1"/>
  <c r="H43" i="1"/>
  <c r="T43" i="1"/>
  <c r="G44" i="1"/>
  <c r="H44" i="1"/>
  <c r="T44" i="1"/>
  <c r="G45" i="1"/>
  <c r="H45" i="1"/>
  <c r="T45" i="1"/>
  <c r="G46" i="1"/>
  <c r="H46" i="1"/>
  <c r="T46" i="1"/>
  <c r="G47" i="1"/>
  <c r="H47" i="1"/>
  <c r="T47" i="1"/>
  <c r="G48" i="1"/>
  <c r="H48" i="1"/>
  <c r="T48" i="1"/>
  <c r="G49" i="1"/>
  <c r="H49" i="1"/>
  <c r="T49" i="1"/>
  <c r="G50" i="1"/>
  <c r="H50" i="1"/>
  <c r="T50" i="1"/>
  <c r="G51" i="1"/>
  <c r="H51" i="1"/>
  <c r="T51" i="1"/>
  <c r="G52" i="1"/>
  <c r="H52" i="1"/>
  <c r="T52" i="1"/>
  <c r="G53" i="1"/>
  <c r="H53" i="1"/>
  <c r="T53" i="1"/>
</calcChain>
</file>

<file path=xl/sharedStrings.xml><?xml version="1.0" encoding="utf-8"?>
<sst xmlns="http://schemas.openxmlformats.org/spreadsheetml/2006/main" count="82" uniqueCount="27">
  <si>
    <t>SN</t>
  </si>
  <si>
    <t>Rock_type</t>
  </si>
  <si>
    <t>Angle</t>
  </si>
  <si>
    <t>Diameter_mm</t>
  </si>
  <si>
    <t>Thickness_mm</t>
  </si>
  <si>
    <t>Load_(KN)</t>
  </si>
  <si>
    <t>Tensile_strength_Mpa</t>
  </si>
  <si>
    <t>Mass</t>
  </si>
  <si>
    <t>Modulus_of_Elasticity</t>
  </si>
  <si>
    <t>Lateral_strain</t>
  </si>
  <si>
    <t>Axial_strain</t>
  </si>
  <si>
    <t>Poisson_Ratio</t>
  </si>
  <si>
    <t>Shear_Modulus</t>
  </si>
  <si>
    <t>Density</t>
  </si>
  <si>
    <t>Bulk_Density</t>
  </si>
  <si>
    <t>H/D_ratio</t>
  </si>
  <si>
    <t>Radians</t>
  </si>
  <si>
    <t>UCS_(Mpa)</t>
  </si>
  <si>
    <t>Cohesion</t>
  </si>
  <si>
    <t>Friction_Angle</t>
  </si>
  <si>
    <t>Area_mm^2</t>
  </si>
  <si>
    <t>Volume_mm^3</t>
  </si>
  <si>
    <t>Porosity_percent</t>
  </si>
  <si>
    <t>Augen gneiss</t>
  </si>
  <si>
    <t>Psammitic schist</t>
  </si>
  <si>
    <t>Modulus_of_Elasticity_GPa</t>
  </si>
  <si>
    <t>Shear_Modulus_GPa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</si>
</sst>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"/>
    <numFmt numFmtId="166" formatCode="0.0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FA7D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A15B-F019-FD46-9263-415DEE6852B2}">
  <dimension ref="A1:W77"/>
  <sheetViews>
    <sheetView tabSelected="1" topLeftCell="A10" workbookViewId="0">
      <selection activeCell="AC34" sqref="AC34"/>
    </sheetView>
  </sheetViews>
  <sheetFormatPr baseColWidth="10" defaultRowHeight="16" x14ac:dyDescent="0.2"/>
  <cols>
    <col min="2" max="2" width="15" customWidth="1"/>
    <col min="5" max="6" width="14.5" customWidth="1"/>
    <col min="7" max="7" width="10.83203125" style="2"/>
    <col min="8" max="8" width="13.1640625" customWidth="1"/>
    <col min="9" max="9" width="13.1640625" style="2" customWidth="1"/>
    <col min="10" max="10" width="15" style="2" customWidth="1"/>
    <col min="11" max="11" width="13.5" style="2" customWidth="1"/>
    <col min="12" max="12" width="13.1640625" style="2" customWidth="1"/>
    <col min="13" max="13" width="19.83203125" customWidth="1"/>
    <col min="15" max="15" width="12" style="4" customWidth="1"/>
    <col min="16" max="16" width="12.6640625" style="3" customWidth="1"/>
    <col min="17" max="17" width="18.33203125" customWidth="1"/>
    <col min="18" max="18" width="13.5" style="2" customWidth="1"/>
    <col min="19" max="19" width="13.1640625" customWidth="1"/>
    <col min="23" max="23" width="13.8320312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20</v>
      </c>
      <c r="H1" t="s">
        <v>21</v>
      </c>
      <c r="I1" t="s">
        <v>14</v>
      </c>
      <c r="J1" t="s">
        <v>22</v>
      </c>
      <c r="K1" t="s">
        <v>13</v>
      </c>
      <c r="L1" t="s">
        <v>5</v>
      </c>
      <c r="M1" t="s">
        <v>6</v>
      </c>
      <c r="N1" t="s">
        <v>7</v>
      </c>
      <c r="O1" s="1" t="s">
        <v>10</v>
      </c>
      <c r="P1" t="s">
        <v>9</v>
      </c>
      <c r="Q1" t="s">
        <v>8</v>
      </c>
      <c r="R1" t="s">
        <v>11</v>
      </c>
      <c r="S1" t="s">
        <v>12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2">
      <c r="A2">
        <v>1</v>
      </c>
      <c r="B2" t="s">
        <v>23</v>
      </c>
      <c r="C2">
        <v>0</v>
      </c>
      <c r="D2">
        <v>51</v>
      </c>
      <c r="E2">
        <v>23</v>
      </c>
      <c r="F2" s="2">
        <v>0.45098039215686275</v>
      </c>
      <c r="G2" s="2">
        <f>(PI()*D2*E2)</f>
        <v>3685.0881826608274</v>
      </c>
      <c r="H2" s="2">
        <f t="shared" ref="H2:H33" si="0">((PI()*D2^2)*E2)/4</f>
        <v>46984.874328925551</v>
      </c>
      <c r="I2" s="2">
        <v>2.78</v>
      </c>
      <c r="J2">
        <v>1.45</v>
      </c>
      <c r="K2" s="2">
        <v>2.8210000000000002</v>
      </c>
      <c r="L2" s="2">
        <v>18.738673408830309</v>
      </c>
      <c r="M2">
        <v>10.17</v>
      </c>
      <c r="N2">
        <v>130.62</v>
      </c>
      <c r="O2" s="4">
        <v>1.25752E-3</v>
      </c>
      <c r="P2" s="3">
        <v>3.3272E-4</v>
      </c>
      <c r="Q2">
        <v>32.97</v>
      </c>
      <c r="R2" s="2">
        <v>0.2646</v>
      </c>
      <c r="S2">
        <v>14.03</v>
      </c>
      <c r="T2" s="2">
        <f>RADIANS(C2)</f>
        <v>0</v>
      </c>
      <c r="U2">
        <v>41.46</v>
      </c>
      <c r="V2">
        <v>15.22</v>
      </c>
      <c r="W2">
        <v>37.89</v>
      </c>
    </row>
    <row r="3" spans="1:23" x14ac:dyDescent="0.2">
      <c r="A3">
        <v>2</v>
      </c>
      <c r="B3" t="s">
        <v>23</v>
      </c>
      <c r="C3">
        <v>0</v>
      </c>
      <c r="D3">
        <v>51</v>
      </c>
      <c r="E3">
        <v>24</v>
      </c>
      <c r="F3" s="2">
        <v>0.47058823529411764</v>
      </c>
      <c r="G3" s="2">
        <f t="shared" ref="G3:G53" si="1">(PI()*D3*E3)</f>
        <v>3845.3094079939065</v>
      </c>
      <c r="H3" s="2">
        <f t="shared" si="0"/>
        <v>49027.694951922313</v>
      </c>
      <c r="I3" s="2">
        <v>2.84</v>
      </c>
      <c r="J3">
        <v>0.93</v>
      </c>
      <c r="K3" s="2">
        <v>2.867</v>
      </c>
      <c r="L3" s="2">
        <v>20.514725691647492</v>
      </c>
      <c r="M3">
        <v>10.67</v>
      </c>
      <c r="N3">
        <v>139.24</v>
      </c>
      <c r="O3" s="4">
        <v>1.5636000000000001E-3</v>
      </c>
      <c r="P3" s="3">
        <v>4.0734000000000001E-4</v>
      </c>
      <c r="Q3">
        <v>37.54</v>
      </c>
      <c r="R3" s="2">
        <v>0.26050000000000001</v>
      </c>
      <c r="S3">
        <v>15.98</v>
      </c>
      <c r="T3" s="2">
        <f t="shared" ref="T3:T53" si="2">RADIANS(C3)</f>
        <v>0</v>
      </c>
      <c r="U3">
        <v>58.7</v>
      </c>
      <c r="V3">
        <v>15.22</v>
      </c>
      <c r="W3">
        <v>37.89</v>
      </c>
    </row>
    <row r="4" spans="1:23" x14ac:dyDescent="0.2">
      <c r="A4">
        <v>3</v>
      </c>
      <c r="B4" t="s">
        <v>23</v>
      </c>
      <c r="C4">
        <v>0</v>
      </c>
      <c r="D4">
        <v>51</v>
      </c>
      <c r="E4">
        <v>27</v>
      </c>
      <c r="F4" s="2">
        <v>0.52941176470588236</v>
      </c>
      <c r="G4" s="2">
        <f t="shared" si="1"/>
        <v>4325.9730839931453</v>
      </c>
      <c r="H4" s="2">
        <f t="shared" si="0"/>
        <v>55156.156820912598</v>
      </c>
      <c r="I4" s="2">
        <v>2.76</v>
      </c>
      <c r="J4">
        <v>1.42</v>
      </c>
      <c r="K4" s="2">
        <v>2.8</v>
      </c>
      <c r="L4" s="2">
        <v>22.949287210583638</v>
      </c>
      <c r="M4">
        <v>10.61</v>
      </c>
      <c r="N4">
        <v>152.22999999999999</v>
      </c>
      <c r="O4" s="4">
        <v>1.58927E-3</v>
      </c>
      <c r="P4" s="3">
        <v>4.0962000000000003E-4</v>
      </c>
      <c r="Q4">
        <v>38.57</v>
      </c>
      <c r="R4" s="2">
        <v>0.25769999999999998</v>
      </c>
      <c r="S4">
        <v>16.41</v>
      </c>
      <c r="T4" s="2">
        <f t="shared" si="2"/>
        <v>0</v>
      </c>
      <c r="U4">
        <v>61.3</v>
      </c>
      <c r="V4">
        <v>15.22</v>
      </c>
      <c r="W4">
        <v>37.89</v>
      </c>
    </row>
    <row r="5" spans="1:23" x14ac:dyDescent="0.2">
      <c r="A5">
        <v>4</v>
      </c>
      <c r="B5" t="s">
        <v>23</v>
      </c>
      <c r="C5">
        <v>0</v>
      </c>
      <c r="D5">
        <v>51</v>
      </c>
      <c r="E5">
        <v>22.5</v>
      </c>
      <c r="F5" s="2">
        <v>0.44117647058823528</v>
      </c>
      <c r="G5" s="2">
        <f t="shared" si="1"/>
        <v>3604.9775699942875</v>
      </c>
      <c r="H5" s="2">
        <f t="shared" si="0"/>
        <v>45963.46401742717</v>
      </c>
      <c r="I5" s="2">
        <v>2.88</v>
      </c>
      <c r="J5">
        <v>0.8</v>
      </c>
      <c r="K5" s="2">
        <v>2.903</v>
      </c>
      <c r="L5" s="2">
        <v>19.665152644318837</v>
      </c>
      <c r="M5">
        <v>10.91</v>
      </c>
      <c r="N5">
        <v>132.37</v>
      </c>
      <c r="O5" s="4">
        <v>1.55572E-3</v>
      </c>
      <c r="P5" s="3">
        <v>4.0382999999999999E-4</v>
      </c>
      <c r="Q5">
        <v>37.99</v>
      </c>
      <c r="R5" s="2">
        <v>0.2596</v>
      </c>
      <c r="S5">
        <v>16.170000000000002</v>
      </c>
      <c r="T5" s="2">
        <f t="shared" si="2"/>
        <v>0</v>
      </c>
      <c r="U5">
        <v>59.1</v>
      </c>
      <c r="V5">
        <v>15.22</v>
      </c>
      <c r="W5">
        <v>37.89</v>
      </c>
    </row>
    <row r="6" spans="1:23" x14ac:dyDescent="0.2">
      <c r="A6">
        <v>5</v>
      </c>
      <c r="B6" t="s">
        <v>23</v>
      </c>
      <c r="C6">
        <v>0</v>
      </c>
      <c r="D6">
        <v>51</v>
      </c>
      <c r="E6">
        <v>24.5</v>
      </c>
      <c r="F6" s="2">
        <v>0.48039215686274511</v>
      </c>
      <c r="G6" s="2">
        <f t="shared" si="1"/>
        <v>3925.4200206604464</v>
      </c>
      <c r="H6" s="2">
        <f t="shared" si="0"/>
        <v>50049.105263420694</v>
      </c>
      <c r="I6" s="2">
        <v>2.81</v>
      </c>
      <c r="J6">
        <v>1.34</v>
      </c>
      <c r="K6" s="2">
        <v>2.8479999999999999</v>
      </c>
      <c r="L6" s="2">
        <v>19.60747300319893</v>
      </c>
      <c r="M6">
        <v>9.99</v>
      </c>
      <c r="N6">
        <v>140.63999999999999</v>
      </c>
      <c r="O6" s="4">
        <v>1.5236500000000001E-3</v>
      </c>
      <c r="P6" s="3">
        <v>3.9247000000000002E-4</v>
      </c>
      <c r="Q6">
        <v>37.28</v>
      </c>
      <c r="R6" s="2">
        <v>0.2576</v>
      </c>
      <c r="S6">
        <v>15.86</v>
      </c>
      <c r="T6" s="2">
        <f t="shared" si="2"/>
        <v>0</v>
      </c>
      <c r="U6">
        <v>56.8</v>
      </c>
      <c r="V6">
        <v>15.22</v>
      </c>
      <c r="W6">
        <v>37.89</v>
      </c>
    </row>
    <row r="7" spans="1:23" x14ac:dyDescent="0.2">
      <c r="A7">
        <v>6</v>
      </c>
      <c r="B7" t="s">
        <v>23</v>
      </c>
      <c r="C7">
        <v>15</v>
      </c>
      <c r="D7">
        <v>51</v>
      </c>
      <c r="E7">
        <v>20</v>
      </c>
      <c r="F7" s="2">
        <v>0.39215686274509803</v>
      </c>
      <c r="G7" s="2">
        <f t="shared" si="1"/>
        <v>3204.424506661589</v>
      </c>
      <c r="H7" s="2">
        <f t="shared" si="0"/>
        <v>40856.412459935258</v>
      </c>
      <c r="I7" s="2">
        <v>2.73</v>
      </c>
      <c r="J7">
        <v>1.71</v>
      </c>
      <c r="K7" s="2">
        <v>2.7770000000000001</v>
      </c>
      <c r="L7" s="2">
        <v>17.191737478239425</v>
      </c>
      <c r="M7">
        <v>10.73</v>
      </c>
      <c r="N7">
        <v>111.54</v>
      </c>
      <c r="O7" s="4">
        <v>1.24581E-3</v>
      </c>
      <c r="P7" s="3">
        <v>3.1105999999999999E-4</v>
      </c>
      <c r="Q7">
        <v>37.89</v>
      </c>
      <c r="R7" s="2">
        <v>0.24970000000000001</v>
      </c>
      <c r="S7">
        <v>16.22</v>
      </c>
      <c r="T7" s="2">
        <f t="shared" si="2"/>
        <v>0.26179938779914941</v>
      </c>
      <c r="U7">
        <v>47.2</v>
      </c>
      <c r="V7">
        <v>14.1</v>
      </c>
      <c r="W7">
        <v>36.729999999999997</v>
      </c>
    </row>
    <row r="8" spans="1:23" x14ac:dyDescent="0.2">
      <c r="A8">
        <v>7</v>
      </c>
      <c r="B8" t="s">
        <v>23</v>
      </c>
      <c r="C8">
        <v>15</v>
      </c>
      <c r="D8">
        <v>51</v>
      </c>
      <c r="E8">
        <v>27</v>
      </c>
      <c r="F8" s="2">
        <v>0.52941176470588236</v>
      </c>
      <c r="G8" s="2">
        <f t="shared" si="1"/>
        <v>4325.9730839931453</v>
      </c>
      <c r="H8" s="2">
        <f t="shared" si="0"/>
        <v>55156.156820912598</v>
      </c>
      <c r="I8" s="2">
        <v>2.86</v>
      </c>
      <c r="J8">
        <v>1.1399999999999999</v>
      </c>
      <c r="K8" s="2">
        <v>2.8929999999999998</v>
      </c>
      <c r="L8" s="2">
        <v>21.975943266685178</v>
      </c>
      <c r="M8">
        <v>10.16</v>
      </c>
      <c r="N8">
        <v>157.75</v>
      </c>
      <c r="O8" s="4">
        <v>1.3602E-3</v>
      </c>
      <c r="P8" s="3">
        <v>3.5435000000000002E-4</v>
      </c>
      <c r="Q8">
        <v>36.26</v>
      </c>
      <c r="R8" s="2">
        <v>0.26050000000000001</v>
      </c>
      <c r="S8">
        <v>15.52</v>
      </c>
      <c r="T8" s="2">
        <f t="shared" si="2"/>
        <v>0.26179938779914941</v>
      </c>
      <c r="U8">
        <v>49.32</v>
      </c>
      <c r="V8">
        <v>14.1</v>
      </c>
      <c r="W8">
        <v>36.729999999999997</v>
      </c>
    </row>
    <row r="9" spans="1:23" x14ac:dyDescent="0.2">
      <c r="A9">
        <v>8</v>
      </c>
      <c r="B9" t="s">
        <v>23</v>
      </c>
      <c r="C9">
        <v>15</v>
      </c>
      <c r="D9">
        <v>51</v>
      </c>
      <c r="E9">
        <v>23</v>
      </c>
      <c r="F9" s="2">
        <v>0.45098039215686275</v>
      </c>
      <c r="G9" s="2">
        <f t="shared" si="1"/>
        <v>3685.0881826608274</v>
      </c>
      <c r="H9" s="2">
        <f t="shared" si="0"/>
        <v>46984.874328925551</v>
      </c>
      <c r="I9" s="2">
        <v>2.79</v>
      </c>
      <c r="J9">
        <v>1.2</v>
      </c>
      <c r="K9" s="2">
        <v>2.8239999999999998</v>
      </c>
      <c r="L9" s="2">
        <v>17.891103126818319</v>
      </c>
      <c r="M9">
        <v>9.7100000000000009</v>
      </c>
      <c r="N9">
        <v>131.09</v>
      </c>
      <c r="O9" s="4">
        <v>1.37805E-3</v>
      </c>
      <c r="P9" s="3">
        <v>3.4619000000000002E-4</v>
      </c>
      <c r="Q9">
        <v>38.32</v>
      </c>
      <c r="R9" s="2">
        <v>0.25119999999999998</v>
      </c>
      <c r="S9">
        <v>16.399999999999999</v>
      </c>
      <c r="T9" s="2">
        <f t="shared" si="2"/>
        <v>0.26179938779914941</v>
      </c>
      <c r="U9">
        <v>52.8</v>
      </c>
      <c r="V9">
        <v>14.1</v>
      </c>
      <c r="W9">
        <v>36.729999999999997</v>
      </c>
    </row>
    <row r="10" spans="1:23" x14ac:dyDescent="0.2">
      <c r="A10">
        <v>9</v>
      </c>
      <c r="B10" t="s">
        <v>23</v>
      </c>
      <c r="C10">
        <v>15</v>
      </c>
      <c r="D10">
        <v>51</v>
      </c>
      <c r="E10">
        <v>25</v>
      </c>
      <c r="F10" s="2">
        <v>0.49019607843137253</v>
      </c>
      <c r="G10" s="2">
        <f t="shared" si="1"/>
        <v>4005.5306333269859</v>
      </c>
      <c r="H10" s="2">
        <f t="shared" si="0"/>
        <v>51070.515574919074</v>
      </c>
      <c r="I10" s="2">
        <v>2.83</v>
      </c>
      <c r="J10">
        <v>1.1200000000000001</v>
      </c>
      <c r="K10" s="2">
        <v>2.8620000000000001</v>
      </c>
      <c r="L10" s="2">
        <v>19.907487247635121</v>
      </c>
      <c r="M10">
        <v>9.94</v>
      </c>
      <c r="N10">
        <v>144.53</v>
      </c>
      <c r="O10" s="4">
        <v>1.3424699999999999E-3</v>
      </c>
      <c r="P10" s="3">
        <v>3.4215E-4</v>
      </c>
      <c r="Q10">
        <v>37.1</v>
      </c>
      <c r="R10" s="2">
        <v>0.25490000000000002</v>
      </c>
      <c r="S10">
        <v>15.88</v>
      </c>
      <c r="T10" s="2">
        <f t="shared" si="2"/>
        <v>0.26179938779914941</v>
      </c>
      <c r="U10">
        <v>49.8</v>
      </c>
      <c r="V10">
        <v>14.1</v>
      </c>
      <c r="W10">
        <v>36.729999999999997</v>
      </c>
    </row>
    <row r="11" spans="1:23" x14ac:dyDescent="0.2">
      <c r="A11">
        <v>10</v>
      </c>
      <c r="B11" t="s">
        <v>23</v>
      </c>
      <c r="C11">
        <v>15</v>
      </c>
      <c r="D11">
        <v>51</v>
      </c>
      <c r="E11">
        <v>21</v>
      </c>
      <c r="F11" s="2">
        <v>0.41176470588235292</v>
      </c>
      <c r="G11" s="2">
        <f>(PI()*D11*E11)</f>
        <v>3364.6457319946685</v>
      </c>
      <c r="H11" s="2">
        <f>((PI()*D11^2)*E11)/4</f>
        <v>42899.23308293202</v>
      </c>
      <c r="I11" s="2">
        <v>2.91</v>
      </c>
      <c r="J11">
        <v>0.57999999999999996</v>
      </c>
      <c r="K11" s="2">
        <v>2.927</v>
      </c>
      <c r="L11" s="2">
        <v>16.133476284914437</v>
      </c>
      <c r="M11">
        <v>9.59</v>
      </c>
      <c r="N11">
        <v>124.84</v>
      </c>
      <c r="O11" s="4">
        <v>1.49383E-3</v>
      </c>
      <c r="P11" s="3">
        <v>3.9124E-4</v>
      </c>
      <c r="Q11">
        <v>37.020000000000003</v>
      </c>
      <c r="R11" s="2">
        <v>0.26190000000000002</v>
      </c>
      <c r="S11">
        <v>15.85</v>
      </c>
      <c r="T11" s="2">
        <f>RADIANS(C11)</f>
        <v>0.26179938779914941</v>
      </c>
      <c r="U11">
        <v>55.3</v>
      </c>
      <c r="V11">
        <v>14.1</v>
      </c>
      <c r="W11">
        <v>36.729999999999997</v>
      </c>
    </row>
    <row r="12" spans="1:23" x14ac:dyDescent="0.2">
      <c r="A12">
        <v>11</v>
      </c>
      <c r="B12" t="s">
        <v>23</v>
      </c>
      <c r="C12">
        <v>30</v>
      </c>
      <c r="D12">
        <v>51</v>
      </c>
      <c r="E12">
        <v>22</v>
      </c>
      <c r="F12" s="2">
        <v>0.43137254901960786</v>
      </c>
      <c r="G12" s="2">
        <f t="shared" si="1"/>
        <v>3524.866957327748</v>
      </c>
      <c r="H12" s="2">
        <f t="shared" si="0"/>
        <v>44942.053705928782</v>
      </c>
      <c r="I12" s="2">
        <v>2.75</v>
      </c>
      <c r="J12">
        <v>1.45</v>
      </c>
      <c r="K12" s="2">
        <v>2.79</v>
      </c>
      <c r="L12" s="2">
        <v>16.690245042946888</v>
      </c>
      <c r="M12">
        <v>9.4700000000000006</v>
      </c>
      <c r="N12">
        <v>123.59</v>
      </c>
      <c r="O12" s="4">
        <v>9.6080999999999998E-4</v>
      </c>
      <c r="P12" s="3">
        <v>2.3230000000000001E-4</v>
      </c>
      <c r="Q12">
        <v>38.69</v>
      </c>
      <c r="R12" s="2">
        <v>0.24179999999999999</v>
      </c>
      <c r="S12">
        <v>16.760000000000002</v>
      </c>
      <c r="T12" s="2">
        <f t="shared" si="2"/>
        <v>0.52359877559829882</v>
      </c>
      <c r="U12">
        <v>37.17</v>
      </c>
      <c r="V12">
        <v>11.309999999999999</v>
      </c>
      <c r="W12">
        <v>33.06</v>
      </c>
    </row>
    <row r="13" spans="1:23" x14ac:dyDescent="0.2">
      <c r="A13">
        <v>12</v>
      </c>
      <c r="B13" t="s">
        <v>23</v>
      </c>
      <c r="C13">
        <v>30</v>
      </c>
      <c r="D13">
        <v>51</v>
      </c>
      <c r="E13">
        <v>20</v>
      </c>
      <c r="F13" s="2">
        <v>0.39215686274509803</v>
      </c>
      <c r="G13" s="2">
        <f t="shared" si="1"/>
        <v>3204.424506661589</v>
      </c>
      <c r="H13" s="2">
        <f t="shared" si="0"/>
        <v>40856.412459935258</v>
      </c>
      <c r="I13" s="2">
        <v>2.82</v>
      </c>
      <c r="J13">
        <v>1.2</v>
      </c>
      <c r="K13" s="2">
        <v>2.8540000000000001</v>
      </c>
      <c r="L13" s="2">
        <v>16.198365881174333</v>
      </c>
      <c r="M13">
        <v>10.11</v>
      </c>
      <c r="N13">
        <v>115.22</v>
      </c>
      <c r="O13" s="4">
        <v>9.8028000000000004E-4</v>
      </c>
      <c r="P13" s="3">
        <v>2.3864000000000001E-4</v>
      </c>
      <c r="Q13">
        <v>39.17</v>
      </c>
      <c r="R13" s="2">
        <v>0.24340000000000001</v>
      </c>
      <c r="S13">
        <v>16.97</v>
      </c>
      <c r="T13" s="2">
        <f t="shared" si="2"/>
        <v>0.52359877559829882</v>
      </c>
      <c r="U13">
        <v>38.4</v>
      </c>
      <c r="V13">
        <v>11.309999999999999</v>
      </c>
      <c r="W13">
        <v>33.06</v>
      </c>
    </row>
    <row r="14" spans="1:23" x14ac:dyDescent="0.2">
      <c r="A14">
        <v>13</v>
      </c>
      <c r="B14" t="s">
        <v>23</v>
      </c>
      <c r="C14">
        <v>30</v>
      </c>
      <c r="D14">
        <v>51</v>
      </c>
      <c r="E14">
        <v>25</v>
      </c>
      <c r="F14" s="2">
        <v>0.49019607843137253</v>
      </c>
      <c r="G14" s="2">
        <f t="shared" si="1"/>
        <v>4005.5306333269859</v>
      </c>
      <c r="H14" s="2">
        <f t="shared" si="0"/>
        <v>51070.515574919074</v>
      </c>
      <c r="I14" s="2">
        <v>2.87</v>
      </c>
      <c r="J14">
        <v>0.78</v>
      </c>
      <c r="K14" s="2">
        <v>2.8929999999999998</v>
      </c>
      <c r="L14" s="2">
        <v>19.70721071596877</v>
      </c>
      <c r="M14">
        <v>9.84</v>
      </c>
      <c r="N14">
        <v>146.57</v>
      </c>
      <c r="O14" s="4">
        <v>1.05532E-3</v>
      </c>
      <c r="P14" s="3">
        <v>2.6224000000000001E-4</v>
      </c>
      <c r="Q14">
        <v>38.950000000000003</v>
      </c>
      <c r="R14" s="2">
        <v>0.2485</v>
      </c>
      <c r="S14">
        <v>16.87</v>
      </c>
      <c r="T14" s="2">
        <f t="shared" si="2"/>
        <v>0.52359877559829882</v>
      </c>
      <c r="U14">
        <v>41.1</v>
      </c>
      <c r="V14">
        <v>11.309999999999999</v>
      </c>
      <c r="W14">
        <v>33.06</v>
      </c>
    </row>
    <row r="15" spans="1:23" x14ac:dyDescent="0.2">
      <c r="A15">
        <v>14</v>
      </c>
      <c r="B15" t="s">
        <v>23</v>
      </c>
      <c r="C15">
        <v>30</v>
      </c>
      <c r="D15">
        <v>51</v>
      </c>
      <c r="E15">
        <v>27</v>
      </c>
      <c r="F15" s="2">
        <v>0.52941176470588236</v>
      </c>
      <c r="G15" s="2">
        <f t="shared" si="1"/>
        <v>4325.9730839931453</v>
      </c>
      <c r="H15" s="2">
        <f t="shared" si="0"/>
        <v>55156.156820912598</v>
      </c>
      <c r="I15" s="2">
        <v>2.8</v>
      </c>
      <c r="J15">
        <v>1.19</v>
      </c>
      <c r="K15" s="2">
        <v>2.8340000000000001</v>
      </c>
      <c r="L15" s="2">
        <v>20.78630066858706</v>
      </c>
      <c r="M15">
        <v>9.61</v>
      </c>
      <c r="N15">
        <v>154.44</v>
      </c>
      <c r="O15" s="4">
        <v>1.02804E-3</v>
      </c>
      <c r="P15" s="3">
        <v>2.5405000000000002E-4</v>
      </c>
      <c r="Q15">
        <v>38.619999999999997</v>
      </c>
      <c r="R15" s="2">
        <v>0.24709999999999999</v>
      </c>
      <c r="S15">
        <v>16.73</v>
      </c>
      <c r="T15" s="2">
        <f t="shared" si="2"/>
        <v>0.52359877559829882</v>
      </c>
      <c r="U15">
        <v>39.700000000000003</v>
      </c>
      <c r="V15">
        <v>11.309999999999999</v>
      </c>
      <c r="W15">
        <v>33.06</v>
      </c>
    </row>
    <row r="16" spans="1:23" x14ac:dyDescent="0.2">
      <c r="A16">
        <v>15</v>
      </c>
      <c r="B16" t="s">
        <v>23</v>
      </c>
      <c r="C16">
        <v>30</v>
      </c>
      <c r="D16">
        <v>51</v>
      </c>
      <c r="E16">
        <v>22</v>
      </c>
      <c r="F16" s="2">
        <v>0.43137254901960786</v>
      </c>
      <c r="G16" s="2">
        <f t="shared" si="1"/>
        <v>3524.866957327748</v>
      </c>
      <c r="H16" s="2">
        <f t="shared" si="0"/>
        <v>44942.053705928782</v>
      </c>
      <c r="I16" s="2">
        <v>2.77</v>
      </c>
      <c r="J16">
        <v>1.5</v>
      </c>
      <c r="K16" s="2">
        <v>2.8119999999999998</v>
      </c>
      <c r="L16" s="2">
        <v>17.518588777918907</v>
      </c>
      <c r="M16">
        <v>9.94</v>
      </c>
      <c r="N16">
        <v>124.49</v>
      </c>
      <c r="O16" s="4">
        <v>9.3725999999999998E-4</v>
      </c>
      <c r="P16" s="3">
        <v>2.2673999999999999E-4</v>
      </c>
      <c r="Q16">
        <v>38.619999999999997</v>
      </c>
      <c r="R16" s="2">
        <v>0.2419</v>
      </c>
      <c r="S16">
        <v>16.739999999999998</v>
      </c>
      <c r="T16" s="2">
        <f t="shared" si="2"/>
        <v>0.52359877559829882</v>
      </c>
      <c r="U16">
        <v>36.200000000000003</v>
      </c>
      <c r="V16">
        <v>11.309999999999999</v>
      </c>
      <c r="W16">
        <v>33.06</v>
      </c>
    </row>
    <row r="17" spans="1:23" x14ac:dyDescent="0.2">
      <c r="A17">
        <v>16</v>
      </c>
      <c r="B17" t="s">
        <v>23</v>
      </c>
      <c r="C17">
        <v>45</v>
      </c>
      <c r="D17">
        <v>51</v>
      </c>
      <c r="E17">
        <v>22</v>
      </c>
      <c r="F17" s="2">
        <v>0.43137254901960786</v>
      </c>
      <c r="G17" s="2">
        <f t="shared" si="1"/>
        <v>3524.866957327748</v>
      </c>
      <c r="H17" s="2">
        <f t="shared" si="0"/>
        <v>44942.053705928782</v>
      </c>
      <c r="I17" s="2">
        <v>2.85</v>
      </c>
      <c r="J17">
        <v>1.07</v>
      </c>
      <c r="K17" s="2">
        <v>2.8809999999999998</v>
      </c>
      <c r="L17" s="2">
        <v>15.9676473166947</v>
      </c>
      <c r="M17">
        <v>9.06</v>
      </c>
      <c r="N17">
        <v>128.08000000000001</v>
      </c>
      <c r="O17" s="4">
        <v>1.0437599999999999E-3</v>
      </c>
      <c r="P17" s="3">
        <v>2.3362E-4</v>
      </c>
      <c r="Q17">
        <v>42.92</v>
      </c>
      <c r="R17" s="2">
        <v>0.2238</v>
      </c>
      <c r="S17">
        <v>18.670000000000002</v>
      </c>
      <c r="T17" s="2">
        <f t="shared" si="2"/>
        <v>0.78539816339744828</v>
      </c>
      <c r="U17">
        <v>44.8</v>
      </c>
      <c r="V17">
        <v>11.68</v>
      </c>
      <c r="W17">
        <v>34.950000000000003</v>
      </c>
    </row>
    <row r="18" spans="1:23" x14ac:dyDescent="0.2">
      <c r="A18">
        <v>17</v>
      </c>
      <c r="B18" t="s">
        <v>23</v>
      </c>
      <c r="C18">
        <v>45</v>
      </c>
      <c r="D18">
        <v>51</v>
      </c>
      <c r="E18">
        <v>23</v>
      </c>
      <c r="F18" s="2">
        <v>0.45098039215686275</v>
      </c>
      <c r="G18" s="2">
        <f t="shared" si="1"/>
        <v>3685.0881826608274</v>
      </c>
      <c r="H18" s="2">
        <f t="shared" si="0"/>
        <v>46984.874328925551</v>
      </c>
      <c r="I18" s="2">
        <v>2.74</v>
      </c>
      <c r="J18">
        <v>1.5</v>
      </c>
      <c r="K18" s="2">
        <v>2.782</v>
      </c>
      <c r="L18" s="2">
        <v>15.956431830921384</v>
      </c>
      <c r="M18">
        <v>8.66</v>
      </c>
      <c r="N18">
        <v>128.74</v>
      </c>
      <c r="O18" s="4">
        <v>8.1987E-4</v>
      </c>
      <c r="P18" s="3">
        <v>1.9309000000000001E-4</v>
      </c>
      <c r="Q18">
        <v>35.700000000000003</v>
      </c>
      <c r="R18" s="2">
        <v>0.23549999999999999</v>
      </c>
      <c r="S18">
        <v>15.53</v>
      </c>
      <c r="T18" s="2">
        <f t="shared" si="2"/>
        <v>0.78539816339744828</v>
      </c>
      <c r="U18">
        <v>29.27</v>
      </c>
      <c r="V18">
        <v>11.68</v>
      </c>
      <c r="W18">
        <v>34.950000000000003</v>
      </c>
    </row>
    <row r="19" spans="1:23" x14ac:dyDescent="0.2">
      <c r="A19">
        <v>18</v>
      </c>
      <c r="B19" t="s">
        <v>23</v>
      </c>
      <c r="C19">
        <v>45</v>
      </c>
      <c r="D19">
        <v>51</v>
      </c>
      <c r="E19">
        <v>23</v>
      </c>
      <c r="F19" s="2">
        <v>0.45098039215686275</v>
      </c>
      <c r="G19" s="2">
        <f t="shared" si="1"/>
        <v>3685.0881826608274</v>
      </c>
      <c r="H19" s="2">
        <f t="shared" si="0"/>
        <v>46984.874328925551</v>
      </c>
      <c r="I19" s="2">
        <v>2.89</v>
      </c>
      <c r="J19">
        <v>0.88</v>
      </c>
      <c r="K19" s="2">
        <v>2.9159999999999999</v>
      </c>
      <c r="L19" s="2">
        <v>17.006681962979719</v>
      </c>
      <c r="M19">
        <v>9.23</v>
      </c>
      <c r="N19">
        <v>135.79</v>
      </c>
      <c r="O19" s="4">
        <v>1.0848399999999999E-3</v>
      </c>
      <c r="P19" s="3">
        <v>2.5987999999999999E-4</v>
      </c>
      <c r="Q19">
        <v>39.450000000000003</v>
      </c>
      <c r="R19" s="2">
        <v>0.23960000000000001</v>
      </c>
      <c r="S19">
        <v>17.16</v>
      </c>
      <c r="T19" s="2">
        <f t="shared" si="2"/>
        <v>0.78539816339744828</v>
      </c>
      <c r="U19">
        <v>42.8</v>
      </c>
      <c r="V19">
        <v>11.68</v>
      </c>
      <c r="W19">
        <v>34.950000000000003</v>
      </c>
    </row>
    <row r="20" spans="1:23" x14ac:dyDescent="0.2">
      <c r="A20">
        <v>19</v>
      </c>
      <c r="B20" t="s">
        <v>23</v>
      </c>
      <c r="C20">
        <v>45</v>
      </c>
      <c r="D20">
        <v>51</v>
      </c>
      <c r="E20">
        <v>20</v>
      </c>
      <c r="F20" s="2">
        <v>0.39215686274509803</v>
      </c>
      <c r="G20" s="2">
        <f>(PI()*D20*E20)</f>
        <v>3204.424506661589</v>
      </c>
      <c r="H20" s="2">
        <f>((PI()*D20^2)*E20)/4</f>
        <v>40856.412459935258</v>
      </c>
      <c r="I20" s="2">
        <v>2.95</v>
      </c>
      <c r="J20">
        <v>0.49</v>
      </c>
      <c r="K20" s="2">
        <v>2.9649999999999999</v>
      </c>
      <c r="L20" s="2">
        <v>15.44532612210886</v>
      </c>
      <c r="M20">
        <v>9.64</v>
      </c>
      <c r="N20">
        <v>120.53</v>
      </c>
      <c r="O20" s="4">
        <v>1.3065500000000001E-3</v>
      </c>
      <c r="P20" s="3">
        <v>2.9515999999999999E-4</v>
      </c>
      <c r="Q20">
        <v>48.52</v>
      </c>
      <c r="R20" s="2">
        <v>0.22589999999999999</v>
      </c>
      <c r="S20">
        <v>21.1</v>
      </c>
      <c r="T20" s="2">
        <f>RADIANS(C20)</f>
        <v>0.78539816339744828</v>
      </c>
      <c r="U20">
        <v>63.4</v>
      </c>
      <c r="V20">
        <v>11.68</v>
      </c>
      <c r="W20">
        <v>34.950000000000003</v>
      </c>
    </row>
    <row r="21" spans="1:23" x14ac:dyDescent="0.2">
      <c r="A21">
        <v>20</v>
      </c>
      <c r="B21" t="s">
        <v>23</v>
      </c>
      <c r="C21">
        <v>60</v>
      </c>
      <c r="D21">
        <v>51</v>
      </c>
      <c r="E21">
        <v>21</v>
      </c>
      <c r="F21" s="2">
        <v>0.41176470588235292</v>
      </c>
      <c r="G21" s="2">
        <f t="shared" si="1"/>
        <v>3364.6457319946685</v>
      </c>
      <c r="H21" s="2">
        <f t="shared" si="0"/>
        <v>42899.23308293202</v>
      </c>
      <c r="I21" s="2">
        <v>2.78</v>
      </c>
      <c r="J21">
        <v>1.22</v>
      </c>
      <c r="K21" s="2">
        <v>2.8140000000000001</v>
      </c>
      <c r="L21" s="2">
        <v>13.374466784678807</v>
      </c>
      <c r="M21">
        <v>7.95</v>
      </c>
      <c r="N21">
        <v>119.26</v>
      </c>
      <c r="O21" s="4">
        <v>1.03561E-3</v>
      </c>
      <c r="P21" s="3">
        <v>2.2662E-4</v>
      </c>
      <c r="Q21">
        <v>45.43</v>
      </c>
      <c r="R21" s="2">
        <v>0.21879999999999999</v>
      </c>
      <c r="S21">
        <v>19.489999999999998</v>
      </c>
      <c r="T21" s="2">
        <f t="shared" si="2"/>
        <v>1.0471975511965976</v>
      </c>
      <c r="U21">
        <v>47.05</v>
      </c>
      <c r="V21">
        <v>10.27</v>
      </c>
      <c r="W21">
        <v>35.49</v>
      </c>
    </row>
    <row r="22" spans="1:23" x14ac:dyDescent="0.2">
      <c r="A22">
        <v>21</v>
      </c>
      <c r="B22" t="s">
        <v>23</v>
      </c>
      <c r="C22">
        <v>60</v>
      </c>
      <c r="D22">
        <v>51</v>
      </c>
      <c r="E22">
        <v>22</v>
      </c>
      <c r="F22" s="2">
        <v>0.43137254901960786</v>
      </c>
      <c r="G22" s="2">
        <f t="shared" si="1"/>
        <v>3524.866957327748</v>
      </c>
      <c r="H22" s="2">
        <f t="shared" si="0"/>
        <v>44942.053705928782</v>
      </c>
      <c r="I22" s="2">
        <v>2.84</v>
      </c>
      <c r="J22">
        <v>1.21</v>
      </c>
      <c r="K22" s="2">
        <v>2.875</v>
      </c>
      <c r="L22" s="2">
        <v>14.152340833670907</v>
      </c>
      <c r="M22">
        <v>8.0299999999999994</v>
      </c>
      <c r="N22">
        <v>127.64</v>
      </c>
      <c r="O22" s="4">
        <v>1.0798100000000001E-3</v>
      </c>
      <c r="P22" s="3">
        <v>2.4111E-4</v>
      </c>
      <c r="Q22">
        <v>45.01</v>
      </c>
      <c r="R22" s="2">
        <v>0.2233</v>
      </c>
      <c r="S22">
        <v>19.309999999999999</v>
      </c>
      <c r="T22" s="2">
        <f t="shared" si="2"/>
        <v>1.0471975511965976</v>
      </c>
      <c r="U22">
        <v>48.6</v>
      </c>
      <c r="V22">
        <v>10.27</v>
      </c>
      <c r="W22">
        <v>35.49</v>
      </c>
    </row>
    <row r="23" spans="1:23" x14ac:dyDescent="0.2">
      <c r="A23">
        <v>22</v>
      </c>
      <c r="B23" t="s">
        <v>23</v>
      </c>
      <c r="C23">
        <v>60</v>
      </c>
      <c r="D23">
        <v>51</v>
      </c>
      <c r="E23">
        <v>21</v>
      </c>
      <c r="F23" s="2">
        <v>0.41176470588235292</v>
      </c>
      <c r="G23" s="2">
        <f t="shared" si="1"/>
        <v>3364.6457319946685</v>
      </c>
      <c r="H23" s="2">
        <f t="shared" si="0"/>
        <v>42899.23308293202</v>
      </c>
      <c r="I23" s="2">
        <v>2.72</v>
      </c>
      <c r="J23">
        <v>1.77</v>
      </c>
      <c r="K23" s="2">
        <v>2.7690000000000001</v>
      </c>
      <c r="L23" s="2">
        <v>13.038002211479341</v>
      </c>
      <c r="M23">
        <v>7.75</v>
      </c>
      <c r="N23">
        <v>116.69</v>
      </c>
      <c r="O23" s="4">
        <v>1.09252E-3</v>
      </c>
      <c r="P23" s="3">
        <v>2.3709999999999999E-4</v>
      </c>
      <c r="Q23">
        <v>46.86</v>
      </c>
      <c r="R23" s="2">
        <v>0.217</v>
      </c>
      <c r="S23">
        <v>20.100000000000001</v>
      </c>
      <c r="T23" s="2">
        <f t="shared" si="2"/>
        <v>1.0471975511965976</v>
      </c>
      <c r="U23">
        <v>51.2</v>
      </c>
      <c r="V23">
        <v>10.27</v>
      </c>
      <c r="W23">
        <v>35.49</v>
      </c>
    </row>
    <row r="24" spans="1:23" x14ac:dyDescent="0.2">
      <c r="A24">
        <v>23</v>
      </c>
      <c r="B24" t="s">
        <v>23</v>
      </c>
      <c r="C24">
        <v>75</v>
      </c>
      <c r="D24">
        <v>51</v>
      </c>
      <c r="E24">
        <v>25</v>
      </c>
      <c r="F24" s="2">
        <v>0.49019607843137253</v>
      </c>
      <c r="G24" s="2">
        <f t="shared" si="1"/>
        <v>4005.5306333269859</v>
      </c>
      <c r="H24" s="2">
        <f t="shared" si="0"/>
        <v>51070.515574919074</v>
      </c>
      <c r="I24" s="2">
        <v>2.88</v>
      </c>
      <c r="J24">
        <v>0.84</v>
      </c>
      <c r="K24" s="2">
        <v>2.9039999999999999</v>
      </c>
      <c r="L24" s="2">
        <v>14.880546302809753</v>
      </c>
      <c r="M24">
        <v>7.43</v>
      </c>
      <c r="N24">
        <v>147.08000000000001</v>
      </c>
      <c r="O24" s="4">
        <v>1.2379800000000001E-3</v>
      </c>
      <c r="P24" s="3">
        <v>2.5406000000000002E-4</v>
      </c>
      <c r="Q24">
        <v>52.24</v>
      </c>
      <c r="R24" s="2">
        <v>0.20519999999999999</v>
      </c>
      <c r="S24">
        <v>21.86</v>
      </c>
      <c r="T24" s="2">
        <f t="shared" si="2"/>
        <v>1.3089969389957472</v>
      </c>
      <c r="U24">
        <v>64.67</v>
      </c>
      <c r="V24">
        <v>15.66</v>
      </c>
      <c r="W24">
        <v>36.54</v>
      </c>
    </row>
    <row r="25" spans="1:23" x14ac:dyDescent="0.2">
      <c r="A25">
        <v>24</v>
      </c>
      <c r="B25" t="s">
        <v>23</v>
      </c>
      <c r="C25">
        <v>75</v>
      </c>
      <c r="D25">
        <v>51</v>
      </c>
      <c r="E25">
        <v>23.5</v>
      </c>
      <c r="F25" s="2">
        <v>0.46078431372549017</v>
      </c>
      <c r="G25" s="2">
        <f t="shared" si="1"/>
        <v>3765.198795327367</v>
      </c>
      <c r="H25" s="2">
        <f t="shared" si="0"/>
        <v>48006.284640423932</v>
      </c>
      <c r="I25" s="2">
        <v>2.81</v>
      </c>
      <c r="J25">
        <v>1.1299999999999999</v>
      </c>
      <c r="K25" s="2">
        <v>2.8420000000000001</v>
      </c>
      <c r="L25" s="2">
        <v>15.399663072888931</v>
      </c>
      <c r="M25">
        <v>8.18</v>
      </c>
      <c r="N25">
        <v>134.9</v>
      </c>
      <c r="O25" s="4">
        <v>1.2654999999999999E-3</v>
      </c>
      <c r="P25" s="3">
        <v>2.876E-4</v>
      </c>
      <c r="Q25">
        <v>46.54</v>
      </c>
      <c r="R25" s="2">
        <v>0.2273</v>
      </c>
      <c r="S25">
        <v>19.48</v>
      </c>
      <c r="T25" s="2">
        <f t="shared" si="2"/>
        <v>1.3089969389957472</v>
      </c>
      <c r="U25">
        <v>58.9</v>
      </c>
      <c r="V25">
        <v>15.66</v>
      </c>
      <c r="W25">
        <v>36.54</v>
      </c>
    </row>
    <row r="26" spans="1:23" x14ac:dyDescent="0.2">
      <c r="A26">
        <v>25</v>
      </c>
      <c r="B26" t="s">
        <v>23</v>
      </c>
      <c r="C26">
        <v>75</v>
      </c>
      <c r="D26">
        <v>51</v>
      </c>
      <c r="E26">
        <v>22</v>
      </c>
      <c r="F26" s="2">
        <v>0.43137254901960786</v>
      </c>
      <c r="G26" s="2">
        <f t="shared" si="1"/>
        <v>3524.866957327748</v>
      </c>
      <c r="H26" s="2">
        <f t="shared" si="0"/>
        <v>44942.053705928782</v>
      </c>
      <c r="I26" s="2">
        <v>2.76</v>
      </c>
      <c r="J26">
        <v>1.66</v>
      </c>
      <c r="K26" s="2">
        <v>2.8069999999999999</v>
      </c>
      <c r="L26" s="2">
        <v>13.782229803151495</v>
      </c>
      <c r="M26">
        <v>7.82</v>
      </c>
      <c r="N26">
        <v>124.04</v>
      </c>
      <c r="O26" s="4">
        <v>1.2285099999999999E-3</v>
      </c>
      <c r="P26" s="3">
        <v>2.6019999999999998E-4</v>
      </c>
      <c r="Q26">
        <v>50.55</v>
      </c>
      <c r="R26" s="2">
        <v>0.21179999999999999</v>
      </c>
      <c r="S26">
        <v>21.16</v>
      </c>
      <c r="T26" s="2">
        <f t="shared" si="2"/>
        <v>1.3089969389957472</v>
      </c>
      <c r="U26">
        <v>62.1</v>
      </c>
      <c r="V26">
        <v>15.66</v>
      </c>
      <c r="W26">
        <v>36.54</v>
      </c>
    </row>
    <row r="27" spans="1:23" x14ac:dyDescent="0.2">
      <c r="A27">
        <v>26</v>
      </c>
      <c r="B27" t="s">
        <v>23</v>
      </c>
      <c r="C27">
        <v>75</v>
      </c>
      <c r="D27">
        <v>51</v>
      </c>
      <c r="E27">
        <v>25</v>
      </c>
      <c r="F27" s="2">
        <v>0.49019607843137253</v>
      </c>
      <c r="G27" s="2">
        <f t="shared" si="1"/>
        <v>4005.5306333269859</v>
      </c>
      <c r="H27" s="2">
        <f t="shared" si="0"/>
        <v>51070.515574919074</v>
      </c>
      <c r="I27" s="2">
        <v>2.93</v>
      </c>
      <c r="J27">
        <v>0.59</v>
      </c>
      <c r="K27" s="2">
        <v>2.9470000000000001</v>
      </c>
      <c r="L27" s="2">
        <v>14.199606095144166</v>
      </c>
      <c r="M27">
        <v>7.09</v>
      </c>
      <c r="N27">
        <v>149.63999999999999</v>
      </c>
      <c r="O27" s="4">
        <v>1.18115E-3</v>
      </c>
      <c r="P27" s="3">
        <v>2.4264999999999999E-4</v>
      </c>
      <c r="Q27">
        <v>50.54</v>
      </c>
      <c r="R27" s="2">
        <v>0.2054</v>
      </c>
      <c r="S27">
        <v>21.15</v>
      </c>
      <c r="T27" s="2">
        <f t="shared" si="2"/>
        <v>1.3089969389957472</v>
      </c>
      <c r="U27">
        <v>59.7</v>
      </c>
      <c r="V27">
        <v>15.66</v>
      </c>
      <c r="W27">
        <v>36.54</v>
      </c>
    </row>
    <row r="28" spans="1:23" x14ac:dyDescent="0.2">
      <c r="A28">
        <v>27</v>
      </c>
      <c r="B28" t="s">
        <v>23</v>
      </c>
      <c r="C28">
        <v>90</v>
      </c>
      <c r="D28">
        <v>51</v>
      </c>
      <c r="E28">
        <v>20</v>
      </c>
      <c r="F28" s="2">
        <v>0.39215686274509803</v>
      </c>
      <c r="G28" s="2">
        <f t="shared" si="1"/>
        <v>3204.424506661589</v>
      </c>
      <c r="H28" s="2">
        <f t="shared" si="0"/>
        <v>40856.412459935258</v>
      </c>
      <c r="I28" s="2">
        <v>2.79</v>
      </c>
      <c r="J28">
        <v>1.2</v>
      </c>
      <c r="K28" s="2">
        <v>2.8239999999999998</v>
      </c>
      <c r="L28" s="2">
        <v>12.737587413979815</v>
      </c>
      <c r="M28">
        <v>7.95</v>
      </c>
      <c r="N28">
        <v>113.99</v>
      </c>
      <c r="O28" s="4">
        <v>1.1902499999999999E-3</v>
      </c>
      <c r="P28" s="3">
        <v>2.4363999999999999E-4</v>
      </c>
      <c r="Q28">
        <v>51.63</v>
      </c>
      <c r="R28" s="2">
        <v>0.20469999999999999</v>
      </c>
      <c r="S28">
        <v>21.33</v>
      </c>
      <c r="T28" s="2">
        <f t="shared" si="2"/>
        <v>1.5707963267948966</v>
      </c>
      <c r="U28">
        <v>61.45</v>
      </c>
      <c r="V28">
        <v>16.86</v>
      </c>
      <c r="W28">
        <v>36.76</v>
      </c>
    </row>
    <row r="29" spans="1:23" x14ac:dyDescent="0.2">
      <c r="A29">
        <v>28</v>
      </c>
      <c r="B29" t="s">
        <v>23</v>
      </c>
      <c r="C29">
        <v>90</v>
      </c>
      <c r="D29">
        <v>51</v>
      </c>
      <c r="E29">
        <v>21</v>
      </c>
      <c r="F29" s="2">
        <v>0.41176470588235292</v>
      </c>
      <c r="G29" s="2">
        <f t="shared" si="1"/>
        <v>3364.6457319946685</v>
      </c>
      <c r="H29" s="2">
        <f t="shared" si="0"/>
        <v>42899.23308293202</v>
      </c>
      <c r="I29" s="2">
        <v>2.86</v>
      </c>
      <c r="J29">
        <v>0.85</v>
      </c>
      <c r="K29" s="2">
        <v>2.8849999999999998</v>
      </c>
      <c r="L29" s="2">
        <v>13.340820327358861</v>
      </c>
      <c r="M29">
        <v>7.93</v>
      </c>
      <c r="N29">
        <v>122.69</v>
      </c>
      <c r="O29" s="4">
        <v>1.4166999999999999E-3</v>
      </c>
      <c r="P29" s="3">
        <v>3.2142999999999999E-4</v>
      </c>
      <c r="Q29">
        <v>47.86</v>
      </c>
      <c r="R29" s="2">
        <v>0.22689999999999999</v>
      </c>
      <c r="S29">
        <v>19.78</v>
      </c>
      <c r="T29" s="2">
        <f t="shared" si="2"/>
        <v>1.5707963267948966</v>
      </c>
      <c r="U29">
        <v>67.8</v>
      </c>
      <c r="V29">
        <v>16.86</v>
      </c>
      <c r="W29">
        <v>36.76</v>
      </c>
    </row>
    <row r="30" spans="1:23" x14ac:dyDescent="0.2">
      <c r="A30">
        <v>29</v>
      </c>
      <c r="B30" t="s">
        <v>23</v>
      </c>
      <c r="C30">
        <v>90</v>
      </c>
      <c r="D30">
        <v>51</v>
      </c>
      <c r="E30">
        <v>20</v>
      </c>
      <c r="F30" s="2">
        <v>0.39215686274509803</v>
      </c>
      <c r="G30" s="2">
        <f t="shared" si="1"/>
        <v>3204.424506661589</v>
      </c>
      <c r="H30" s="2">
        <f t="shared" si="0"/>
        <v>40856.412459935258</v>
      </c>
      <c r="I30" s="2">
        <v>2.74</v>
      </c>
      <c r="J30">
        <v>1.73</v>
      </c>
      <c r="K30" s="2">
        <v>2.7879999999999998</v>
      </c>
      <c r="L30" s="2">
        <v>13.634826275845061</v>
      </c>
      <c r="M30">
        <v>8.51</v>
      </c>
      <c r="N30">
        <v>111.95</v>
      </c>
      <c r="O30" s="4">
        <v>1.3313999999999999E-3</v>
      </c>
      <c r="P30" s="3">
        <v>2.7836000000000001E-4</v>
      </c>
      <c r="Q30">
        <v>53.48</v>
      </c>
      <c r="R30" s="2">
        <v>0.20910000000000001</v>
      </c>
      <c r="S30">
        <v>22.1</v>
      </c>
      <c r="T30" s="2">
        <f t="shared" si="2"/>
        <v>1.5707963267948966</v>
      </c>
      <c r="U30">
        <v>71.2</v>
      </c>
      <c r="V30">
        <v>16.86</v>
      </c>
      <c r="W30">
        <v>36.76</v>
      </c>
    </row>
    <row r="31" spans="1:23" x14ac:dyDescent="0.2">
      <c r="A31">
        <v>30</v>
      </c>
      <c r="B31" t="s">
        <v>23</v>
      </c>
      <c r="C31">
        <v>90</v>
      </c>
      <c r="D31">
        <v>51</v>
      </c>
      <c r="E31">
        <v>20</v>
      </c>
      <c r="F31" s="2">
        <v>0.39215686274509803</v>
      </c>
      <c r="G31" s="2">
        <f t="shared" si="1"/>
        <v>3204.424506661589</v>
      </c>
      <c r="H31" s="2">
        <f t="shared" si="0"/>
        <v>40856.412459935258</v>
      </c>
      <c r="I31" s="2">
        <v>2.82</v>
      </c>
      <c r="J31">
        <v>1.24</v>
      </c>
      <c r="K31" s="2">
        <v>2.855</v>
      </c>
      <c r="L31" s="2">
        <v>12.192835247847347</v>
      </c>
      <c r="M31">
        <v>7.61</v>
      </c>
      <c r="N31">
        <v>115.22</v>
      </c>
      <c r="O31" s="4">
        <v>1.27487E-3</v>
      </c>
      <c r="P31" s="3">
        <v>2.5415000000000002E-4</v>
      </c>
      <c r="Q31">
        <v>54.44</v>
      </c>
      <c r="R31" s="2">
        <v>0.19939999999999999</v>
      </c>
      <c r="S31">
        <v>22.49</v>
      </c>
      <c r="T31" s="2">
        <f t="shared" si="2"/>
        <v>1.5707963267948966</v>
      </c>
      <c r="U31">
        <v>69.400000000000006</v>
      </c>
      <c r="V31">
        <v>16.86</v>
      </c>
      <c r="W31">
        <v>36.76</v>
      </c>
    </row>
    <row r="32" spans="1:23" x14ac:dyDescent="0.2">
      <c r="A32">
        <v>31</v>
      </c>
      <c r="B32" t="s">
        <v>24</v>
      </c>
      <c r="C32">
        <v>0</v>
      </c>
      <c r="D32">
        <v>51</v>
      </c>
      <c r="E32">
        <v>23</v>
      </c>
      <c r="F32" s="2">
        <v>0.45098039215686275</v>
      </c>
      <c r="G32" s="2">
        <f t="shared" si="1"/>
        <v>3685.0881826608274</v>
      </c>
      <c r="H32" s="2">
        <f t="shared" si="0"/>
        <v>46984.874328925551</v>
      </c>
      <c r="I32" s="2">
        <v>2.71</v>
      </c>
      <c r="J32">
        <v>1.99</v>
      </c>
      <c r="K32" s="2">
        <v>2.7650000000000001</v>
      </c>
      <c r="L32" s="2">
        <v>16.675024026540246</v>
      </c>
      <c r="M32">
        <v>9.0500000000000007</v>
      </c>
      <c r="N32">
        <v>127.33</v>
      </c>
      <c r="O32" s="4">
        <v>1.29688E-3</v>
      </c>
      <c r="P32" s="3">
        <v>2.7092000000000001E-4</v>
      </c>
      <c r="Q32">
        <v>31.09</v>
      </c>
      <c r="R32" s="2">
        <v>0.2089</v>
      </c>
      <c r="S32">
        <v>6.42</v>
      </c>
      <c r="T32" s="2">
        <f t="shared" si="2"/>
        <v>0</v>
      </c>
      <c r="U32">
        <v>40.32</v>
      </c>
      <c r="V32">
        <v>11.940000000000001</v>
      </c>
      <c r="W32">
        <v>28.09</v>
      </c>
    </row>
    <row r="33" spans="1:23" x14ac:dyDescent="0.2">
      <c r="A33">
        <v>32</v>
      </c>
      <c r="B33" t="s">
        <v>24</v>
      </c>
      <c r="C33">
        <v>0</v>
      </c>
      <c r="D33">
        <v>51</v>
      </c>
      <c r="E33">
        <v>22</v>
      </c>
      <c r="F33" s="2">
        <v>0.43137254901960786</v>
      </c>
      <c r="G33" s="2">
        <f t="shared" si="1"/>
        <v>3524.866957327748</v>
      </c>
      <c r="H33" s="2">
        <f t="shared" si="0"/>
        <v>44942.053705928782</v>
      </c>
      <c r="I33" s="2">
        <v>2.76</v>
      </c>
      <c r="J33">
        <v>1.58</v>
      </c>
      <c r="K33" s="2">
        <v>2.8039999999999998</v>
      </c>
      <c r="L33" s="2">
        <v>18.170689165024541</v>
      </c>
      <c r="M33">
        <v>10.31</v>
      </c>
      <c r="N33">
        <v>124.04</v>
      </c>
      <c r="O33" s="4">
        <v>1.21959E-3</v>
      </c>
      <c r="P33" s="3">
        <v>2.4282000000000001E-4</v>
      </c>
      <c r="Q33">
        <v>33.29</v>
      </c>
      <c r="R33" s="2">
        <v>0.1991</v>
      </c>
      <c r="S33">
        <v>6.88</v>
      </c>
      <c r="T33" s="2">
        <f t="shared" si="2"/>
        <v>0</v>
      </c>
      <c r="U33">
        <v>40.6</v>
      </c>
      <c r="V33">
        <v>11.940000000000001</v>
      </c>
      <c r="W33">
        <v>28.09</v>
      </c>
    </row>
    <row r="34" spans="1:23" x14ac:dyDescent="0.2">
      <c r="A34">
        <v>33</v>
      </c>
      <c r="B34" t="s">
        <v>24</v>
      </c>
      <c r="C34">
        <v>0</v>
      </c>
      <c r="D34">
        <v>51</v>
      </c>
      <c r="E34">
        <v>22</v>
      </c>
      <c r="F34" s="2">
        <v>0.43137254901960786</v>
      </c>
      <c r="G34" s="2">
        <f t="shared" si="1"/>
        <v>3524.866957327748</v>
      </c>
      <c r="H34" s="2">
        <f t="shared" ref="H34:H53" si="3">((PI()*D34^2)*E34)/4</f>
        <v>44942.053705928782</v>
      </c>
      <c r="I34" s="2">
        <v>2.68</v>
      </c>
      <c r="J34">
        <v>2.11</v>
      </c>
      <c r="K34" s="2">
        <v>2.738</v>
      </c>
      <c r="L34" s="2">
        <v>16.478753025507221</v>
      </c>
      <c r="M34">
        <v>9.35</v>
      </c>
      <c r="N34">
        <v>120.44</v>
      </c>
      <c r="O34" s="4">
        <v>1.20261E-3</v>
      </c>
      <c r="P34" s="3">
        <v>2.309E-4</v>
      </c>
      <c r="Q34">
        <v>33.76</v>
      </c>
      <c r="R34" s="2">
        <v>0.192</v>
      </c>
      <c r="S34">
        <v>6.98</v>
      </c>
      <c r="T34" s="2">
        <f t="shared" si="2"/>
        <v>0</v>
      </c>
      <c r="U34">
        <v>40.6</v>
      </c>
      <c r="V34">
        <v>11.940000000000001</v>
      </c>
      <c r="W34">
        <v>28.09</v>
      </c>
    </row>
    <row r="35" spans="1:23" x14ac:dyDescent="0.2">
      <c r="A35">
        <v>34</v>
      </c>
      <c r="B35" t="s">
        <v>24</v>
      </c>
      <c r="C35">
        <v>15</v>
      </c>
      <c r="D35">
        <v>51</v>
      </c>
      <c r="E35">
        <v>21</v>
      </c>
      <c r="F35" s="2">
        <v>0.41176470588235292</v>
      </c>
      <c r="G35" s="2">
        <f t="shared" si="1"/>
        <v>3364.6457319946685</v>
      </c>
      <c r="H35" s="2">
        <f t="shared" si="3"/>
        <v>42899.23308293202</v>
      </c>
      <c r="I35" s="2">
        <v>2.73</v>
      </c>
      <c r="J35">
        <v>1.91</v>
      </c>
      <c r="K35" s="2">
        <v>2.7829999999999999</v>
      </c>
      <c r="L35" s="2">
        <v>15.477370367175475</v>
      </c>
      <c r="M35">
        <v>9.1999999999999993</v>
      </c>
      <c r="N35">
        <v>117.11</v>
      </c>
      <c r="O35" s="4">
        <v>1.3397999999999999E-3</v>
      </c>
      <c r="P35" s="3">
        <v>2.2723E-4</v>
      </c>
      <c r="Q35">
        <v>28.87</v>
      </c>
      <c r="R35" s="2">
        <v>0.1696</v>
      </c>
      <c r="S35">
        <v>7.08</v>
      </c>
      <c r="T35" s="2">
        <f t="shared" si="2"/>
        <v>0.26179938779914941</v>
      </c>
      <c r="U35">
        <v>38.68</v>
      </c>
      <c r="V35">
        <v>11.61</v>
      </c>
      <c r="W35">
        <v>28.36</v>
      </c>
    </row>
    <row r="36" spans="1:23" x14ac:dyDescent="0.2">
      <c r="A36">
        <v>35</v>
      </c>
      <c r="B36" t="s">
        <v>24</v>
      </c>
      <c r="C36">
        <v>15</v>
      </c>
      <c r="D36">
        <v>51</v>
      </c>
      <c r="E36">
        <v>24</v>
      </c>
      <c r="F36" s="2">
        <v>0.47058823529411764</v>
      </c>
      <c r="G36" s="2">
        <f t="shared" si="1"/>
        <v>3845.3094079939065</v>
      </c>
      <c r="H36" s="2">
        <f t="shared" si="3"/>
        <v>49027.694951922313</v>
      </c>
      <c r="I36" s="2">
        <v>2.79</v>
      </c>
      <c r="J36">
        <v>1.21</v>
      </c>
      <c r="K36" s="2">
        <v>2.8239999999999998</v>
      </c>
      <c r="L36" s="2">
        <v>15.092839426376083</v>
      </c>
      <c r="M36">
        <v>7.85</v>
      </c>
      <c r="N36">
        <v>136.79</v>
      </c>
      <c r="O36" s="4">
        <v>1.51746E-3</v>
      </c>
      <c r="P36" s="3">
        <v>2.6267E-4</v>
      </c>
      <c r="Q36">
        <v>28.93</v>
      </c>
      <c r="R36" s="2">
        <v>0.1731</v>
      </c>
      <c r="S36">
        <v>7.09</v>
      </c>
      <c r="T36" s="2">
        <f t="shared" si="2"/>
        <v>0.26179938779914941</v>
      </c>
      <c r="U36">
        <v>43.9</v>
      </c>
      <c r="V36">
        <v>11.61</v>
      </c>
      <c r="W36">
        <v>28.36</v>
      </c>
    </row>
    <row r="37" spans="1:23" x14ac:dyDescent="0.2">
      <c r="A37">
        <v>36</v>
      </c>
      <c r="B37" t="s">
        <v>24</v>
      </c>
      <c r="C37">
        <v>15</v>
      </c>
      <c r="D37">
        <v>51</v>
      </c>
      <c r="E37">
        <v>23</v>
      </c>
      <c r="F37" s="2">
        <v>0.45098039215686275</v>
      </c>
      <c r="G37" s="2">
        <f t="shared" si="1"/>
        <v>3685.0881826608274</v>
      </c>
      <c r="H37" s="2">
        <f t="shared" si="3"/>
        <v>46984.874328925551</v>
      </c>
      <c r="I37" s="2">
        <v>2.7</v>
      </c>
      <c r="J37">
        <v>1.97</v>
      </c>
      <c r="K37" s="2">
        <v>2.754</v>
      </c>
      <c r="L37" s="2">
        <v>15.219414194389218</v>
      </c>
      <c r="M37">
        <v>8.26</v>
      </c>
      <c r="N37">
        <v>126.86</v>
      </c>
      <c r="O37" s="4">
        <v>1.4039600000000001E-3</v>
      </c>
      <c r="P37" s="3">
        <v>2.4766000000000002E-4</v>
      </c>
      <c r="Q37">
        <v>27.28</v>
      </c>
      <c r="R37" s="2">
        <v>0.1764</v>
      </c>
      <c r="S37">
        <v>6.69</v>
      </c>
      <c r="T37" s="2">
        <f t="shared" si="2"/>
        <v>0.26179938779914941</v>
      </c>
      <c r="U37">
        <v>38.299999999999997</v>
      </c>
      <c r="V37">
        <v>11.61</v>
      </c>
      <c r="W37">
        <v>28.36</v>
      </c>
    </row>
    <row r="38" spans="1:23" x14ac:dyDescent="0.2">
      <c r="A38">
        <v>37</v>
      </c>
      <c r="B38" t="s">
        <v>24</v>
      </c>
      <c r="C38">
        <v>30</v>
      </c>
      <c r="D38">
        <v>51</v>
      </c>
      <c r="E38">
        <v>23</v>
      </c>
      <c r="F38" s="2">
        <v>0.45098039215686275</v>
      </c>
      <c r="G38" s="2">
        <f t="shared" si="1"/>
        <v>3685.0881826608274</v>
      </c>
      <c r="H38" s="2">
        <f t="shared" si="3"/>
        <v>46984.874328925551</v>
      </c>
      <c r="I38" s="2">
        <v>2.74</v>
      </c>
      <c r="J38">
        <v>1.77</v>
      </c>
      <c r="K38" s="2">
        <v>2.7890000000000001</v>
      </c>
      <c r="L38" s="2">
        <v>14.353418471463923</v>
      </c>
      <c r="M38">
        <v>7.79</v>
      </c>
      <c r="N38">
        <v>128.74</v>
      </c>
      <c r="O38" s="4">
        <v>1.1741200000000001E-3</v>
      </c>
      <c r="P38" s="3">
        <v>1.6061999999999999E-4</v>
      </c>
      <c r="Q38">
        <v>21.02</v>
      </c>
      <c r="R38" s="2">
        <v>0.1368</v>
      </c>
      <c r="S38">
        <v>7.13</v>
      </c>
      <c r="T38" s="2">
        <f t="shared" si="2"/>
        <v>0.52359877559829882</v>
      </c>
      <c r="U38">
        <v>24.68</v>
      </c>
      <c r="V38">
        <v>9.08</v>
      </c>
      <c r="W38">
        <v>23.78</v>
      </c>
    </row>
    <row r="39" spans="1:23" x14ac:dyDescent="0.2">
      <c r="A39">
        <v>38</v>
      </c>
      <c r="B39" t="s">
        <v>24</v>
      </c>
      <c r="C39">
        <v>30</v>
      </c>
      <c r="D39">
        <v>51</v>
      </c>
      <c r="E39">
        <v>23</v>
      </c>
      <c r="F39" s="2">
        <v>0.45098039215686275</v>
      </c>
      <c r="G39" s="2">
        <f t="shared" si="1"/>
        <v>3685.0881826608274</v>
      </c>
      <c r="H39" s="2">
        <f t="shared" si="3"/>
        <v>46984.874328925551</v>
      </c>
      <c r="I39" s="2">
        <v>2.82</v>
      </c>
      <c r="J39">
        <v>1.08</v>
      </c>
      <c r="K39" s="2">
        <v>2.851</v>
      </c>
      <c r="L39" s="2">
        <v>15.827453744528253</v>
      </c>
      <c r="M39">
        <v>8.59</v>
      </c>
      <c r="N39">
        <v>132.5</v>
      </c>
      <c r="O39" s="4">
        <v>1.4559900000000001E-3</v>
      </c>
      <c r="P39" s="3">
        <v>1.9933E-4</v>
      </c>
      <c r="Q39">
        <v>23.97</v>
      </c>
      <c r="R39" s="2">
        <v>0.13689999999999999</v>
      </c>
      <c r="S39">
        <v>8.1300000000000008</v>
      </c>
      <c r="T39" s="2">
        <f t="shared" si="2"/>
        <v>0.52359877559829882</v>
      </c>
      <c r="U39">
        <v>34.9</v>
      </c>
      <c r="V39">
        <v>9.08</v>
      </c>
      <c r="W39">
        <v>23.78</v>
      </c>
    </row>
    <row r="40" spans="1:23" x14ac:dyDescent="0.2">
      <c r="A40">
        <v>39</v>
      </c>
      <c r="B40" t="s">
        <v>24</v>
      </c>
      <c r="C40">
        <v>30</v>
      </c>
      <c r="D40">
        <v>51</v>
      </c>
      <c r="E40">
        <v>22</v>
      </c>
      <c r="F40" s="2">
        <v>0.43137254901960786</v>
      </c>
      <c r="G40" s="2">
        <f t="shared" si="1"/>
        <v>3524.866957327748</v>
      </c>
      <c r="H40" s="2">
        <f t="shared" si="3"/>
        <v>44942.053705928782</v>
      </c>
      <c r="I40" s="2">
        <v>2.69</v>
      </c>
      <c r="J40">
        <v>2.17</v>
      </c>
      <c r="K40" s="2">
        <v>2.75</v>
      </c>
      <c r="L40" s="2">
        <v>13.99372182059116</v>
      </c>
      <c r="M40">
        <v>7.94</v>
      </c>
      <c r="N40">
        <v>120.89</v>
      </c>
      <c r="O40" s="4">
        <v>1.12695E-3</v>
      </c>
      <c r="P40" s="3">
        <v>1.4797000000000001E-4</v>
      </c>
      <c r="Q40">
        <v>21.74</v>
      </c>
      <c r="R40" s="2">
        <v>0.1313</v>
      </c>
      <c r="S40">
        <v>7.39</v>
      </c>
      <c r="T40" s="2">
        <f t="shared" si="2"/>
        <v>0.52359877559829882</v>
      </c>
      <c r="U40">
        <v>24.5</v>
      </c>
      <c r="V40">
        <v>9.08</v>
      </c>
      <c r="W40">
        <v>23.78</v>
      </c>
    </row>
    <row r="41" spans="1:23" x14ac:dyDescent="0.2">
      <c r="A41">
        <v>40</v>
      </c>
      <c r="B41" t="s">
        <v>24</v>
      </c>
      <c r="C41">
        <v>45</v>
      </c>
      <c r="D41">
        <v>51</v>
      </c>
      <c r="E41">
        <v>23</v>
      </c>
      <c r="F41" s="2">
        <v>0.45098039215686275</v>
      </c>
      <c r="G41" s="2">
        <f t="shared" si="1"/>
        <v>3685.0881826608274</v>
      </c>
      <c r="H41" s="2">
        <f t="shared" si="3"/>
        <v>46984.874328925551</v>
      </c>
      <c r="I41" s="2">
        <v>2.77</v>
      </c>
      <c r="J41">
        <v>1.44</v>
      </c>
      <c r="K41" s="2">
        <v>2.81</v>
      </c>
      <c r="L41" s="2">
        <v>13.376870103058804</v>
      </c>
      <c r="M41">
        <v>7.26</v>
      </c>
      <c r="N41">
        <v>130.15</v>
      </c>
      <c r="O41" s="4">
        <v>1.29262E-3</v>
      </c>
      <c r="P41" s="3">
        <v>1.5447E-4</v>
      </c>
      <c r="Q41">
        <v>19.649999999999999</v>
      </c>
      <c r="R41" s="2">
        <v>0.1195</v>
      </c>
      <c r="S41">
        <v>8.5299999999999994</v>
      </c>
      <c r="T41" s="2">
        <f t="shared" si="2"/>
        <v>0.78539816339744828</v>
      </c>
      <c r="U41">
        <v>25.4</v>
      </c>
      <c r="V41">
        <v>8.2899999999999991</v>
      </c>
      <c r="W41">
        <v>24.24</v>
      </c>
    </row>
    <row r="42" spans="1:23" x14ac:dyDescent="0.2">
      <c r="A42">
        <v>41</v>
      </c>
      <c r="B42" t="s">
        <v>24</v>
      </c>
      <c r="C42">
        <v>45</v>
      </c>
      <c r="D42">
        <v>51</v>
      </c>
      <c r="E42">
        <v>21</v>
      </c>
      <c r="F42" s="2">
        <v>0.41176470588235292</v>
      </c>
      <c r="G42" s="2">
        <f t="shared" si="1"/>
        <v>3364.6457319946685</v>
      </c>
      <c r="H42" s="2">
        <f t="shared" si="3"/>
        <v>42899.23308293202</v>
      </c>
      <c r="I42" s="2">
        <v>2.72</v>
      </c>
      <c r="J42">
        <v>1.87</v>
      </c>
      <c r="K42" s="2">
        <v>2.7719999999999998</v>
      </c>
      <c r="L42" s="2">
        <v>10.531341141143312</v>
      </c>
      <c r="M42">
        <v>6.26</v>
      </c>
      <c r="N42">
        <v>116.69</v>
      </c>
      <c r="O42" s="4">
        <v>1.31098E-3</v>
      </c>
      <c r="P42" s="3">
        <v>1.526E-4</v>
      </c>
      <c r="Q42">
        <v>19.68</v>
      </c>
      <c r="R42" s="2">
        <v>0.1164</v>
      </c>
      <c r="S42">
        <v>8.57</v>
      </c>
      <c r="T42" s="2">
        <f t="shared" si="2"/>
        <v>0.78539816339744828</v>
      </c>
      <c r="U42">
        <v>25.8</v>
      </c>
      <c r="V42">
        <v>8.2899999999999991</v>
      </c>
      <c r="W42">
        <v>24.24</v>
      </c>
    </row>
    <row r="43" spans="1:23" x14ac:dyDescent="0.2">
      <c r="A43">
        <v>42</v>
      </c>
      <c r="B43" t="s">
        <v>24</v>
      </c>
      <c r="C43">
        <v>45</v>
      </c>
      <c r="D43">
        <v>51</v>
      </c>
      <c r="E43">
        <v>21</v>
      </c>
      <c r="F43" s="2">
        <v>0.41176470588235292</v>
      </c>
      <c r="G43" s="2">
        <f t="shared" si="1"/>
        <v>3364.6457319946685</v>
      </c>
      <c r="H43" s="2">
        <f t="shared" si="3"/>
        <v>42899.23308293202</v>
      </c>
      <c r="I43" s="2">
        <v>2.66</v>
      </c>
      <c r="J43">
        <v>2.3199999999999998</v>
      </c>
      <c r="K43" s="2">
        <v>2.7229999999999999</v>
      </c>
      <c r="L43" s="2">
        <v>11.877199433941179</v>
      </c>
      <c r="M43">
        <v>7.06</v>
      </c>
      <c r="N43">
        <v>114.11</v>
      </c>
      <c r="O43" s="4">
        <v>1.31098E-3</v>
      </c>
      <c r="P43" s="3">
        <v>1.5666000000000001E-4</v>
      </c>
      <c r="Q43">
        <v>19.68</v>
      </c>
      <c r="R43" s="2">
        <v>0.1195</v>
      </c>
      <c r="S43">
        <v>8.5500000000000007</v>
      </c>
      <c r="T43" s="2">
        <f t="shared" si="2"/>
        <v>0.78539816339744828</v>
      </c>
      <c r="U43">
        <v>25.8</v>
      </c>
      <c r="V43">
        <v>8.2899999999999991</v>
      </c>
      <c r="W43">
        <v>24.24</v>
      </c>
    </row>
    <row r="44" spans="1:23" x14ac:dyDescent="0.2">
      <c r="A44">
        <v>43</v>
      </c>
      <c r="B44" t="s">
        <v>24</v>
      </c>
      <c r="C44">
        <v>60</v>
      </c>
      <c r="D44">
        <v>51</v>
      </c>
      <c r="E44">
        <v>22</v>
      </c>
      <c r="F44" s="2">
        <v>0.43137254901960786</v>
      </c>
      <c r="G44" s="2">
        <f t="shared" si="1"/>
        <v>3524.866957327748</v>
      </c>
      <c r="H44" s="2">
        <f t="shared" si="3"/>
        <v>44942.053705928782</v>
      </c>
      <c r="I44" s="2">
        <v>2.75</v>
      </c>
      <c r="J44">
        <v>1.45</v>
      </c>
      <c r="K44" s="2">
        <v>2.79</v>
      </c>
      <c r="L44" s="2">
        <v>11.138579585155686</v>
      </c>
      <c r="M44">
        <v>6.32</v>
      </c>
      <c r="N44">
        <v>123.59</v>
      </c>
      <c r="O44" s="4">
        <v>1.7353799999999999E-3</v>
      </c>
      <c r="P44" s="3">
        <v>2.1172000000000001E-4</v>
      </c>
      <c r="Q44">
        <v>21.2</v>
      </c>
      <c r="R44" s="2">
        <v>0.122</v>
      </c>
      <c r="S44">
        <v>10.09</v>
      </c>
      <c r="T44" s="2">
        <f t="shared" si="2"/>
        <v>1.0471975511965976</v>
      </c>
      <c r="U44">
        <v>36.79</v>
      </c>
      <c r="V44">
        <v>9.24</v>
      </c>
      <c r="W44">
        <v>27.81</v>
      </c>
    </row>
    <row r="45" spans="1:23" x14ac:dyDescent="0.2">
      <c r="A45">
        <v>44</v>
      </c>
      <c r="B45" t="s">
        <v>24</v>
      </c>
      <c r="C45">
        <v>60</v>
      </c>
      <c r="D45">
        <v>51</v>
      </c>
      <c r="E45">
        <v>23</v>
      </c>
      <c r="F45" s="2">
        <v>0.45098039215686275</v>
      </c>
      <c r="G45" s="2">
        <f t="shared" si="1"/>
        <v>3685.0881826608274</v>
      </c>
      <c r="H45" s="2">
        <f t="shared" si="3"/>
        <v>46984.874328925551</v>
      </c>
      <c r="I45" s="2">
        <v>2.8</v>
      </c>
      <c r="J45">
        <v>1.1000000000000001</v>
      </c>
      <c r="K45" s="2">
        <v>2.831</v>
      </c>
      <c r="L45" s="2">
        <v>10.539352202409965</v>
      </c>
      <c r="M45">
        <v>5.72</v>
      </c>
      <c r="N45">
        <v>131.56</v>
      </c>
      <c r="O45" s="4">
        <v>1.7497599999999999E-3</v>
      </c>
      <c r="P45" s="3">
        <v>2.0875000000000001E-4</v>
      </c>
      <c r="Q45">
        <v>21.26</v>
      </c>
      <c r="R45" s="2">
        <v>0.1193</v>
      </c>
      <c r="S45">
        <v>10.15</v>
      </c>
      <c r="T45" s="2">
        <f t="shared" si="2"/>
        <v>1.0471975511965976</v>
      </c>
      <c r="U45">
        <v>37.200000000000003</v>
      </c>
      <c r="V45">
        <v>9.24</v>
      </c>
      <c r="W45">
        <v>27.81</v>
      </c>
    </row>
    <row r="46" spans="1:23" x14ac:dyDescent="0.2">
      <c r="A46">
        <v>45</v>
      </c>
      <c r="B46" t="s">
        <v>24</v>
      </c>
      <c r="C46">
        <v>60</v>
      </c>
      <c r="D46">
        <v>51</v>
      </c>
      <c r="E46">
        <v>24</v>
      </c>
      <c r="F46" s="2">
        <v>0.47058823529411764</v>
      </c>
      <c r="G46" s="2">
        <f t="shared" si="1"/>
        <v>3845.3094079939065</v>
      </c>
      <c r="H46" s="2">
        <f t="shared" si="3"/>
        <v>49027.694951922313</v>
      </c>
      <c r="I46" s="2">
        <v>2.71</v>
      </c>
      <c r="J46">
        <v>1.7</v>
      </c>
      <c r="K46" s="2">
        <v>2.7570000000000001</v>
      </c>
      <c r="L46" s="2">
        <v>10.882225624622755</v>
      </c>
      <c r="M46">
        <v>5.66</v>
      </c>
      <c r="N46">
        <v>132.87</v>
      </c>
      <c r="O46" s="4">
        <v>1.84717E-3</v>
      </c>
      <c r="P46" s="3">
        <v>2.4143E-4</v>
      </c>
      <c r="Q46">
        <v>19.760000000000002</v>
      </c>
      <c r="R46" s="2">
        <v>0.13070000000000001</v>
      </c>
      <c r="S46">
        <v>9.32</v>
      </c>
      <c r="T46" s="2">
        <f t="shared" si="2"/>
        <v>1.0471975511965976</v>
      </c>
      <c r="U46">
        <v>36.5</v>
      </c>
      <c r="V46">
        <v>9.24</v>
      </c>
      <c r="W46">
        <v>27.81</v>
      </c>
    </row>
    <row r="47" spans="1:23" x14ac:dyDescent="0.2">
      <c r="A47">
        <v>46</v>
      </c>
      <c r="B47" t="s">
        <v>24</v>
      </c>
      <c r="C47">
        <v>75</v>
      </c>
      <c r="D47">
        <v>51</v>
      </c>
      <c r="E47">
        <v>24</v>
      </c>
      <c r="F47" s="2">
        <v>0.47058823529411764</v>
      </c>
      <c r="G47" s="2">
        <f t="shared" si="1"/>
        <v>3845.3094079939065</v>
      </c>
      <c r="H47" s="2">
        <f t="shared" si="3"/>
        <v>49027.694951922313</v>
      </c>
      <c r="I47" s="2">
        <v>2.78</v>
      </c>
      <c r="J47">
        <v>1.23</v>
      </c>
      <c r="K47" s="2">
        <v>2.8149999999999999</v>
      </c>
      <c r="L47" s="2">
        <v>8.1136028508671423</v>
      </c>
      <c r="M47">
        <v>4.22</v>
      </c>
      <c r="N47">
        <v>136.30000000000001</v>
      </c>
      <c r="O47" s="4">
        <v>1.6368800000000001E-3</v>
      </c>
      <c r="P47" s="3">
        <v>2.6615999999999999E-4</v>
      </c>
      <c r="Q47">
        <v>22.72</v>
      </c>
      <c r="R47" s="2">
        <v>0.16259999999999999</v>
      </c>
      <c r="S47">
        <v>10.14</v>
      </c>
      <c r="T47" s="2">
        <f t="shared" si="2"/>
        <v>1.3089969389957472</v>
      </c>
      <c r="U47">
        <v>37.19</v>
      </c>
      <c r="V47">
        <v>12.15</v>
      </c>
      <c r="W47">
        <v>31.46</v>
      </c>
    </row>
    <row r="48" spans="1:23" x14ac:dyDescent="0.2">
      <c r="A48">
        <v>47</v>
      </c>
      <c r="B48" t="s">
        <v>24</v>
      </c>
      <c r="C48">
        <v>75</v>
      </c>
      <c r="D48">
        <v>51</v>
      </c>
      <c r="E48">
        <v>21</v>
      </c>
      <c r="F48" s="2">
        <v>0.41176470588235292</v>
      </c>
      <c r="G48" s="2">
        <f t="shared" si="1"/>
        <v>3364.6457319946685</v>
      </c>
      <c r="H48" s="2">
        <f t="shared" si="3"/>
        <v>42899.23308293202</v>
      </c>
      <c r="I48" s="2">
        <v>2.67</v>
      </c>
      <c r="J48">
        <v>2.0099999999999998</v>
      </c>
      <c r="K48" s="2">
        <v>2.7250000000000001</v>
      </c>
      <c r="L48" s="2">
        <v>6.4769430340897367</v>
      </c>
      <c r="M48">
        <v>3.85</v>
      </c>
      <c r="N48">
        <v>114.54</v>
      </c>
      <c r="O48" s="4">
        <v>1.52268E-3</v>
      </c>
      <c r="P48" s="3">
        <v>2.0038E-4</v>
      </c>
      <c r="Q48">
        <v>26.67</v>
      </c>
      <c r="R48" s="2">
        <v>0.13159999999999999</v>
      </c>
      <c r="S48">
        <v>12.26</v>
      </c>
      <c r="T48" s="2">
        <f t="shared" si="2"/>
        <v>1.3089969389957472</v>
      </c>
      <c r="U48">
        <v>40.61</v>
      </c>
      <c r="V48">
        <v>12.15</v>
      </c>
      <c r="W48">
        <v>31.46</v>
      </c>
    </row>
    <row r="49" spans="1:23" x14ac:dyDescent="0.2">
      <c r="A49">
        <v>48</v>
      </c>
      <c r="B49" t="s">
        <v>24</v>
      </c>
      <c r="C49">
        <v>75</v>
      </c>
      <c r="D49">
        <v>51</v>
      </c>
      <c r="E49">
        <v>22</v>
      </c>
      <c r="F49" s="2">
        <v>0.43137254901960786</v>
      </c>
      <c r="G49" s="2">
        <f t="shared" si="1"/>
        <v>3524.866957327748</v>
      </c>
      <c r="H49" s="2">
        <f t="shared" si="3"/>
        <v>44942.053705928782</v>
      </c>
      <c r="I49" s="2">
        <v>2.73</v>
      </c>
      <c r="J49">
        <v>1.63</v>
      </c>
      <c r="K49" s="2">
        <v>2.7749999999999999</v>
      </c>
      <c r="L49" s="2">
        <v>4.8290677315390145</v>
      </c>
      <c r="M49">
        <v>2.74</v>
      </c>
      <c r="N49">
        <v>122.69</v>
      </c>
      <c r="O49" s="4">
        <v>1.6364800000000001E-3</v>
      </c>
      <c r="P49" s="3">
        <v>2.3418000000000001E-4</v>
      </c>
      <c r="Q49">
        <v>23.85</v>
      </c>
      <c r="R49" s="2">
        <v>0.1431</v>
      </c>
      <c r="S49">
        <v>10.84</v>
      </c>
      <c r="T49" s="2">
        <f t="shared" si="2"/>
        <v>1.3089969389957472</v>
      </c>
      <c r="U49">
        <v>39.03</v>
      </c>
      <c r="V49">
        <v>12.15</v>
      </c>
      <c r="W49">
        <v>31.46</v>
      </c>
    </row>
    <row r="50" spans="1:23" x14ac:dyDescent="0.2">
      <c r="A50">
        <v>49</v>
      </c>
      <c r="B50" t="s">
        <v>24</v>
      </c>
      <c r="C50">
        <v>75</v>
      </c>
      <c r="D50">
        <v>51</v>
      </c>
      <c r="E50">
        <v>21</v>
      </c>
      <c r="F50" s="2">
        <v>0.41176470588235292</v>
      </c>
      <c r="G50" s="2">
        <f t="shared" si="1"/>
        <v>3364.6457319946685</v>
      </c>
      <c r="H50" s="2">
        <f t="shared" si="3"/>
        <v>42899.23308293202</v>
      </c>
      <c r="I50" s="2">
        <v>2.85</v>
      </c>
      <c r="J50">
        <v>0.85</v>
      </c>
      <c r="K50" s="2">
        <v>2.8740000000000001</v>
      </c>
      <c r="L50" s="2">
        <v>5.1479079699518424</v>
      </c>
      <c r="M50">
        <v>3.06</v>
      </c>
      <c r="N50">
        <v>122.26</v>
      </c>
      <c r="O50" s="4">
        <v>1.69093E-3</v>
      </c>
      <c r="P50" s="3">
        <v>2.4366000000000001E-4</v>
      </c>
      <c r="Q50">
        <v>24.59</v>
      </c>
      <c r="R50" s="2">
        <v>0.14410000000000001</v>
      </c>
      <c r="S50">
        <v>11.17</v>
      </c>
      <c r="T50" s="2">
        <f t="shared" si="2"/>
        <v>1.3089969389957472</v>
      </c>
      <c r="U50">
        <v>41.58</v>
      </c>
      <c r="V50">
        <v>12.15</v>
      </c>
      <c r="W50">
        <v>31.46</v>
      </c>
    </row>
    <row r="51" spans="1:23" x14ac:dyDescent="0.2">
      <c r="A51">
        <v>50</v>
      </c>
      <c r="B51" t="s">
        <v>24</v>
      </c>
      <c r="C51">
        <v>90</v>
      </c>
      <c r="D51">
        <v>51</v>
      </c>
      <c r="E51">
        <v>24</v>
      </c>
      <c r="F51" s="2">
        <v>0.47058823529411764</v>
      </c>
      <c r="G51" s="2">
        <f t="shared" si="1"/>
        <v>3845.3094079939065</v>
      </c>
      <c r="H51" s="2">
        <f t="shared" si="3"/>
        <v>49027.694951922313</v>
      </c>
      <c r="I51" s="2">
        <v>2.76</v>
      </c>
      <c r="J51">
        <v>1.43</v>
      </c>
      <c r="K51" s="2">
        <v>2.8</v>
      </c>
      <c r="L51" s="2">
        <v>9.6709531611046753</v>
      </c>
      <c r="M51">
        <v>5.03</v>
      </c>
      <c r="N51">
        <v>135.32</v>
      </c>
      <c r="O51" s="4">
        <v>1.5642900000000001E-3</v>
      </c>
      <c r="P51" s="3">
        <v>2.4262E-4</v>
      </c>
      <c r="Q51">
        <v>27.61</v>
      </c>
      <c r="R51" s="2">
        <v>0.15509999999999999</v>
      </c>
      <c r="S51">
        <v>11.95</v>
      </c>
      <c r="T51" s="2">
        <f t="shared" si="2"/>
        <v>1.5707963267948966</v>
      </c>
      <c r="U51">
        <v>43.19</v>
      </c>
      <c r="V51">
        <v>12.52</v>
      </c>
      <c r="W51">
        <v>30.32</v>
      </c>
    </row>
    <row r="52" spans="1:23" x14ac:dyDescent="0.2">
      <c r="A52">
        <v>51</v>
      </c>
      <c r="B52" t="s">
        <v>24</v>
      </c>
      <c r="C52">
        <v>90</v>
      </c>
      <c r="D52">
        <v>51</v>
      </c>
      <c r="E52">
        <v>22</v>
      </c>
      <c r="F52" s="2">
        <v>0.43137254901960786</v>
      </c>
      <c r="G52" s="2">
        <f t="shared" si="1"/>
        <v>3524.866957327748</v>
      </c>
      <c r="H52" s="2">
        <f t="shared" si="3"/>
        <v>44942.053705928782</v>
      </c>
      <c r="I52" s="2">
        <v>2.69</v>
      </c>
      <c r="J52">
        <v>1.97</v>
      </c>
      <c r="K52" s="2">
        <v>2.7440000000000002</v>
      </c>
      <c r="L52" s="2">
        <v>8.1248183366404607</v>
      </c>
      <c r="M52">
        <v>4.6100000000000003</v>
      </c>
      <c r="N52">
        <v>120.89</v>
      </c>
      <c r="O52" s="4">
        <v>1.6464299999999999E-3</v>
      </c>
      <c r="P52" s="3">
        <v>2.6753999999999998E-4</v>
      </c>
      <c r="Q52">
        <v>26.36</v>
      </c>
      <c r="R52" s="2">
        <v>0.16250000000000001</v>
      </c>
      <c r="S52">
        <v>11.34</v>
      </c>
      <c r="T52" s="2">
        <f t="shared" si="2"/>
        <v>1.5707963267948966</v>
      </c>
      <c r="U52">
        <v>43.4</v>
      </c>
      <c r="V52">
        <v>12.52</v>
      </c>
      <c r="W52">
        <v>30.32</v>
      </c>
    </row>
    <row r="53" spans="1:23" x14ac:dyDescent="0.2">
      <c r="A53">
        <v>52</v>
      </c>
      <c r="B53" t="s">
        <v>24</v>
      </c>
      <c r="C53">
        <v>90</v>
      </c>
      <c r="D53">
        <v>51</v>
      </c>
      <c r="E53">
        <v>22</v>
      </c>
      <c r="F53" s="2">
        <v>0.43137254901960786</v>
      </c>
      <c r="G53" s="2">
        <f t="shared" si="1"/>
        <v>3524.866957327748</v>
      </c>
      <c r="H53" s="2">
        <f t="shared" si="3"/>
        <v>44942.053705928782</v>
      </c>
      <c r="I53" s="2">
        <v>2.74</v>
      </c>
      <c r="J53">
        <v>1.52</v>
      </c>
      <c r="K53" s="2">
        <v>2.782</v>
      </c>
      <c r="L53" s="2">
        <v>9.4642677804250042</v>
      </c>
      <c r="M53">
        <v>5.37</v>
      </c>
      <c r="N53">
        <v>123.14</v>
      </c>
      <c r="O53" s="4">
        <v>1.6092000000000001E-3</v>
      </c>
      <c r="P53" s="3">
        <v>2.6150000000000001E-4</v>
      </c>
      <c r="Q53">
        <v>26.97</v>
      </c>
      <c r="R53" s="2">
        <v>0.16250000000000001</v>
      </c>
      <c r="S53">
        <v>11.6</v>
      </c>
      <c r="T53" s="2">
        <f t="shared" si="2"/>
        <v>1.5707963267948966</v>
      </c>
      <c r="U53">
        <v>43.4</v>
      </c>
      <c r="V53">
        <v>12.52</v>
      </c>
      <c r="W53">
        <v>30.32</v>
      </c>
    </row>
    <row r="54" spans="1:23" x14ac:dyDescent="0.2">
      <c r="G54"/>
      <c r="I54"/>
      <c r="J54"/>
      <c r="K54"/>
      <c r="L54"/>
      <c r="O54"/>
      <c r="P54"/>
      <c r="R54"/>
    </row>
    <row r="55" spans="1:23" x14ac:dyDescent="0.2">
      <c r="G55"/>
      <c r="I55"/>
      <c r="J55"/>
      <c r="K55"/>
      <c r="L55"/>
      <c r="O55"/>
      <c r="P55"/>
      <c r="R55"/>
    </row>
    <row r="56" spans="1:23" x14ac:dyDescent="0.2">
      <c r="G56"/>
      <c r="I56"/>
      <c r="J56"/>
      <c r="K56"/>
      <c r="L56"/>
      <c r="O56"/>
      <c r="P56"/>
      <c r="R56"/>
    </row>
    <row r="57" spans="1:23" x14ac:dyDescent="0.2">
      <c r="G57"/>
      <c r="I57"/>
      <c r="J57"/>
      <c r="K57"/>
      <c r="L57"/>
      <c r="O57"/>
      <c r="P57"/>
      <c r="R57"/>
    </row>
    <row r="58" spans="1:23" x14ac:dyDescent="0.2">
      <c r="G58"/>
      <c r="I58"/>
      <c r="J58"/>
      <c r="K58"/>
      <c r="L58"/>
      <c r="O58"/>
      <c r="P58"/>
      <c r="R58"/>
    </row>
    <row r="59" spans="1:23" x14ac:dyDescent="0.2">
      <c r="G59"/>
      <c r="I59"/>
      <c r="J59"/>
      <c r="K59"/>
      <c r="L59"/>
      <c r="O59"/>
      <c r="P59"/>
      <c r="R59"/>
    </row>
    <row r="60" spans="1:23" x14ac:dyDescent="0.2">
      <c r="G60"/>
      <c r="I60"/>
      <c r="J60"/>
      <c r="K60"/>
      <c r="L60"/>
      <c r="O60"/>
      <c r="P60"/>
      <c r="R60"/>
    </row>
    <row r="61" spans="1:23" x14ac:dyDescent="0.2">
      <c r="G61"/>
      <c r="I61"/>
      <c r="J61"/>
      <c r="K61"/>
      <c r="L61"/>
      <c r="O61"/>
      <c r="P61"/>
      <c r="R61"/>
    </row>
    <row r="62" spans="1:23" x14ac:dyDescent="0.2">
      <c r="G62"/>
      <c r="I62"/>
      <c r="J62"/>
      <c r="K62"/>
      <c r="L62"/>
      <c r="O62"/>
      <c r="P62"/>
      <c r="R62"/>
    </row>
    <row r="63" spans="1:23" x14ac:dyDescent="0.2">
      <c r="G63"/>
      <c r="I63"/>
      <c r="J63"/>
      <c r="K63"/>
      <c r="L63"/>
      <c r="O63"/>
      <c r="P63"/>
      <c r="R63"/>
    </row>
    <row r="64" spans="1:23" x14ac:dyDescent="0.2">
      <c r="G64"/>
      <c r="I64"/>
      <c r="J64"/>
      <c r="K64"/>
      <c r="L64"/>
      <c r="O64"/>
      <c r="P64"/>
      <c r="R64"/>
    </row>
    <row r="65" spans="7:18" x14ac:dyDescent="0.2">
      <c r="G65"/>
      <c r="I65"/>
      <c r="J65"/>
      <c r="K65"/>
      <c r="L65"/>
      <c r="O65"/>
      <c r="P65"/>
      <c r="R65"/>
    </row>
    <row r="66" spans="7:18" x14ac:dyDescent="0.2">
      <c r="G66"/>
      <c r="I66"/>
      <c r="J66"/>
      <c r="K66"/>
      <c r="L66"/>
      <c r="O66"/>
      <c r="P66"/>
      <c r="R66"/>
    </row>
    <row r="67" spans="7:18" x14ac:dyDescent="0.2">
      <c r="G67"/>
      <c r="I67"/>
      <c r="J67"/>
      <c r="K67"/>
      <c r="L67"/>
      <c r="O67"/>
      <c r="P67"/>
      <c r="R67"/>
    </row>
    <row r="68" spans="7:18" x14ac:dyDescent="0.2">
      <c r="G68"/>
      <c r="I68"/>
      <c r="J68"/>
      <c r="K68"/>
      <c r="L68"/>
      <c r="O68"/>
      <c r="P68"/>
      <c r="R68"/>
    </row>
    <row r="69" spans="7:18" x14ac:dyDescent="0.2">
      <c r="G69"/>
      <c r="I69"/>
      <c r="J69"/>
      <c r="K69"/>
      <c r="L69"/>
      <c r="O69"/>
      <c r="P69"/>
      <c r="R69"/>
    </row>
    <row r="70" spans="7:18" x14ac:dyDescent="0.2">
      <c r="G70"/>
      <c r="I70"/>
      <c r="J70"/>
      <c r="K70"/>
      <c r="L70"/>
      <c r="O70"/>
      <c r="P70"/>
      <c r="R70"/>
    </row>
    <row r="71" spans="7:18" x14ac:dyDescent="0.2">
      <c r="G71"/>
      <c r="I71"/>
      <c r="J71"/>
      <c r="K71"/>
      <c r="L71"/>
      <c r="O71"/>
      <c r="P71"/>
      <c r="R71"/>
    </row>
    <row r="72" spans="7:18" x14ac:dyDescent="0.2">
      <c r="G72"/>
      <c r="I72"/>
      <c r="J72"/>
      <c r="K72"/>
      <c r="L72"/>
      <c r="O72"/>
      <c r="P72"/>
      <c r="R72"/>
    </row>
    <row r="73" spans="7:18" x14ac:dyDescent="0.2">
      <c r="G73"/>
      <c r="I73"/>
      <c r="J73"/>
      <c r="K73"/>
      <c r="L73"/>
      <c r="O73"/>
      <c r="P73"/>
      <c r="R73"/>
    </row>
    <row r="74" spans="7:18" x14ac:dyDescent="0.2">
      <c r="G74"/>
      <c r="I74"/>
      <c r="J74"/>
      <c r="K74"/>
      <c r="L74"/>
      <c r="O74"/>
      <c r="P74"/>
      <c r="R74"/>
    </row>
    <row r="75" spans="7:18" x14ac:dyDescent="0.2">
      <c r="G75"/>
      <c r="I75"/>
      <c r="J75"/>
      <c r="K75"/>
      <c r="L75"/>
      <c r="O75"/>
      <c r="P75"/>
      <c r="R75"/>
    </row>
    <row r="76" spans="7:18" x14ac:dyDescent="0.2">
      <c r="G76"/>
      <c r="I76"/>
      <c r="J76"/>
      <c r="K76"/>
      <c r="L76"/>
      <c r="O76"/>
      <c r="P76"/>
      <c r="R76"/>
    </row>
    <row r="77" spans="7:18" x14ac:dyDescent="0.2">
      <c r="G77"/>
      <c r="I77"/>
      <c r="J77"/>
      <c r="K77"/>
      <c r="L77"/>
      <c r="O77"/>
      <c r="P77"/>
      <c r="R77"/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16E8-D472-1244-B2F8-F4BD841DC05A}">
  <dimension ref="A1:G23"/>
  <sheetViews>
    <sheetView workbookViewId="0">
      <selection activeCell="C2" sqref="C2:G23"/>
    </sheetView>
  </sheetViews>
  <sheetFormatPr baseColWidth="10" defaultRowHeight="16" x14ac:dyDescent="0.2"/>
  <cols>
    <col min="5" max="5" width="15" customWidth="1"/>
    <col min="6" max="6" width="17.1640625" customWidth="1"/>
    <col min="7" max="7" width="21.83203125" customWidth="1"/>
  </cols>
  <sheetData>
    <row r="1" spans="1:7" x14ac:dyDescent="0.2">
      <c r="A1" t="s">
        <v>0</v>
      </c>
      <c r="B1" t="s">
        <v>2</v>
      </c>
      <c r="C1" t="s">
        <v>25</v>
      </c>
      <c r="D1" t="s">
        <v>9</v>
      </c>
      <c r="E1" t="s">
        <v>10</v>
      </c>
      <c r="F1" t="s">
        <v>11</v>
      </c>
      <c r="G1" t="s">
        <v>26</v>
      </c>
    </row>
    <row r="2" spans="1:7" x14ac:dyDescent="0.2">
      <c r="A2">
        <v>31</v>
      </c>
      <c r="B2">
        <v>0</v>
      </c>
      <c r="C2">
        <v>31.09</v>
      </c>
      <c r="D2">
        <v>2.7092000000000001E-4</v>
      </c>
      <c r="E2">
        <v>1.29688E-3</v>
      </c>
      <c r="F2">
        <v>0.2089</v>
      </c>
      <c r="G2">
        <v>6.42</v>
      </c>
    </row>
    <row r="3" spans="1:7" x14ac:dyDescent="0.2">
      <c r="A3">
        <v>32</v>
      </c>
      <c r="B3">
        <v>0</v>
      </c>
      <c r="C3">
        <v>33.29</v>
      </c>
      <c r="D3">
        <v>2.4282000000000001E-4</v>
      </c>
      <c r="E3">
        <v>1.21959E-3</v>
      </c>
      <c r="F3">
        <v>0.1991</v>
      </c>
      <c r="G3">
        <v>6.88</v>
      </c>
    </row>
    <row r="4" spans="1:7" x14ac:dyDescent="0.2">
      <c r="A4">
        <v>33</v>
      </c>
      <c r="B4">
        <v>0</v>
      </c>
      <c r="C4">
        <v>33.76</v>
      </c>
      <c r="D4">
        <v>2.309E-4</v>
      </c>
      <c r="E4">
        <v>1.20261E-3</v>
      </c>
      <c r="F4">
        <v>0.192</v>
      </c>
      <c r="G4">
        <v>6.98</v>
      </c>
    </row>
    <row r="5" spans="1:7" x14ac:dyDescent="0.2">
      <c r="A5">
        <v>34</v>
      </c>
      <c r="B5">
        <v>15</v>
      </c>
      <c r="C5">
        <v>28.87</v>
      </c>
      <c r="D5">
        <v>2.2723E-4</v>
      </c>
      <c r="E5">
        <v>1.3397999999999999E-3</v>
      </c>
      <c r="F5">
        <v>0.1696</v>
      </c>
      <c r="G5">
        <v>7.08</v>
      </c>
    </row>
    <row r="6" spans="1:7" x14ac:dyDescent="0.2">
      <c r="A6">
        <v>35</v>
      </c>
      <c r="B6">
        <v>15</v>
      </c>
      <c r="C6">
        <v>28.93</v>
      </c>
      <c r="D6">
        <v>2.6267E-4</v>
      </c>
      <c r="E6">
        <v>1.51746E-3</v>
      </c>
      <c r="F6">
        <v>0.1731</v>
      </c>
      <c r="G6">
        <v>7.09</v>
      </c>
    </row>
    <row r="7" spans="1:7" x14ac:dyDescent="0.2">
      <c r="A7">
        <v>36</v>
      </c>
      <c r="B7">
        <v>15</v>
      </c>
      <c r="C7">
        <v>27.28</v>
      </c>
      <c r="D7">
        <v>2.4766000000000002E-4</v>
      </c>
      <c r="E7">
        <v>1.4039600000000001E-3</v>
      </c>
      <c r="F7">
        <v>0.1764</v>
      </c>
      <c r="G7">
        <v>6.69</v>
      </c>
    </row>
    <row r="8" spans="1:7" x14ac:dyDescent="0.2">
      <c r="A8">
        <v>37</v>
      </c>
      <c r="B8">
        <v>30</v>
      </c>
      <c r="C8">
        <v>21.02</v>
      </c>
      <c r="D8">
        <v>1.6061999999999999E-4</v>
      </c>
      <c r="E8">
        <v>1.1741200000000001E-3</v>
      </c>
      <c r="F8">
        <v>0.1368</v>
      </c>
      <c r="G8">
        <v>7.13</v>
      </c>
    </row>
    <row r="9" spans="1:7" x14ac:dyDescent="0.2">
      <c r="A9">
        <v>38</v>
      </c>
      <c r="B9">
        <v>30</v>
      </c>
      <c r="C9">
        <v>23.97</v>
      </c>
      <c r="D9">
        <v>1.9933E-4</v>
      </c>
      <c r="E9">
        <v>1.4559900000000001E-3</v>
      </c>
      <c r="F9">
        <v>0.13689999999999999</v>
      </c>
      <c r="G9">
        <v>8.1300000000000008</v>
      </c>
    </row>
    <row r="10" spans="1:7" x14ac:dyDescent="0.2">
      <c r="A10">
        <v>39</v>
      </c>
      <c r="B10">
        <v>30</v>
      </c>
      <c r="C10">
        <v>21.74</v>
      </c>
      <c r="D10">
        <v>1.4797000000000001E-4</v>
      </c>
      <c r="E10">
        <v>1.12695E-3</v>
      </c>
      <c r="F10">
        <v>0.1313</v>
      </c>
      <c r="G10">
        <v>7.39</v>
      </c>
    </row>
    <row r="11" spans="1:7" x14ac:dyDescent="0.2">
      <c r="A11">
        <v>40</v>
      </c>
      <c r="B11">
        <v>45</v>
      </c>
      <c r="C11">
        <v>19.649999999999999</v>
      </c>
      <c r="D11">
        <v>1.5447E-4</v>
      </c>
      <c r="E11">
        <v>1.29262E-3</v>
      </c>
      <c r="F11">
        <v>0.1195</v>
      </c>
      <c r="G11">
        <v>8.5299999999999994</v>
      </c>
    </row>
    <row r="12" spans="1:7" x14ac:dyDescent="0.2">
      <c r="A12">
        <v>41</v>
      </c>
      <c r="B12">
        <v>45</v>
      </c>
      <c r="C12">
        <v>19.68</v>
      </c>
      <c r="D12">
        <v>1.526E-4</v>
      </c>
      <c r="E12">
        <v>1.31098E-3</v>
      </c>
      <c r="F12">
        <v>0.1164</v>
      </c>
      <c r="G12">
        <v>8.57</v>
      </c>
    </row>
    <row r="13" spans="1:7" x14ac:dyDescent="0.2">
      <c r="A13">
        <v>42</v>
      </c>
      <c r="B13">
        <v>45</v>
      </c>
      <c r="C13">
        <v>19.68</v>
      </c>
      <c r="D13">
        <v>1.5666000000000001E-4</v>
      </c>
      <c r="E13">
        <v>1.31098E-3</v>
      </c>
      <c r="F13">
        <v>0.1195</v>
      </c>
      <c r="G13">
        <v>8.5500000000000007</v>
      </c>
    </row>
    <row r="14" spans="1:7" x14ac:dyDescent="0.2">
      <c r="A14">
        <v>43</v>
      </c>
      <c r="B14">
        <v>60</v>
      </c>
      <c r="C14">
        <v>21.2</v>
      </c>
      <c r="D14">
        <v>2.1172000000000001E-4</v>
      </c>
      <c r="E14">
        <v>1.7353799999999999E-3</v>
      </c>
      <c r="F14">
        <v>0.122</v>
      </c>
      <c r="G14">
        <v>10.09</v>
      </c>
    </row>
    <row r="15" spans="1:7" x14ac:dyDescent="0.2">
      <c r="A15">
        <v>44</v>
      </c>
      <c r="B15">
        <v>60</v>
      </c>
      <c r="C15">
        <v>21.26</v>
      </c>
      <c r="D15">
        <v>2.0875000000000001E-4</v>
      </c>
      <c r="E15">
        <v>1.7497599999999999E-3</v>
      </c>
      <c r="F15">
        <v>0.1193</v>
      </c>
      <c r="G15">
        <v>10.15</v>
      </c>
    </row>
    <row r="16" spans="1:7" x14ac:dyDescent="0.2">
      <c r="A16">
        <v>45</v>
      </c>
      <c r="B16">
        <v>60</v>
      </c>
      <c r="C16">
        <v>19.760000000000002</v>
      </c>
      <c r="D16">
        <v>2.4143E-4</v>
      </c>
      <c r="E16">
        <v>1.84717E-3</v>
      </c>
      <c r="F16">
        <v>0.13070000000000001</v>
      </c>
      <c r="G16">
        <v>9.32</v>
      </c>
    </row>
    <row r="17" spans="1:7" x14ac:dyDescent="0.2">
      <c r="A17">
        <v>46</v>
      </c>
      <c r="B17">
        <v>75</v>
      </c>
      <c r="C17">
        <v>22.72</v>
      </c>
      <c r="D17">
        <v>2.6615999999999999E-4</v>
      </c>
      <c r="E17">
        <v>1.6368800000000001E-3</v>
      </c>
      <c r="F17">
        <v>0.16259999999999999</v>
      </c>
      <c r="G17">
        <v>10.14</v>
      </c>
    </row>
    <row r="18" spans="1:7" x14ac:dyDescent="0.2">
      <c r="A18">
        <v>47</v>
      </c>
      <c r="B18">
        <v>75</v>
      </c>
      <c r="C18">
        <v>26.67</v>
      </c>
      <c r="D18">
        <v>2.0038E-4</v>
      </c>
      <c r="E18">
        <v>1.52268E-3</v>
      </c>
      <c r="F18">
        <v>0.13159999999999999</v>
      </c>
      <c r="G18">
        <v>12.26</v>
      </c>
    </row>
    <row r="19" spans="1:7" x14ac:dyDescent="0.2">
      <c r="A19">
        <v>48</v>
      </c>
      <c r="B19">
        <v>75</v>
      </c>
      <c r="C19">
        <v>23.85</v>
      </c>
      <c r="D19">
        <v>2.3418000000000001E-4</v>
      </c>
      <c r="E19">
        <v>1.6364800000000001E-3</v>
      </c>
      <c r="F19">
        <v>0.1431</v>
      </c>
      <c r="G19">
        <v>10.84</v>
      </c>
    </row>
    <row r="20" spans="1:7" x14ac:dyDescent="0.2">
      <c r="A20">
        <v>49</v>
      </c>
      <c r="B20">
        <v>75</v>
      </c>
      <c r="C20">
        <v>24.59</v>
      </c>
      <c r="D20">
        <v>2.4366000000000001E-4</v>
      </c>
      <c r="E20">
        <v>1.69093E-3</v>
      </c>
      <c r="F20">
        <v>0.14410000000000001</v>
      </c>
      <c r="G20">
        <v>11.17</v>
      </c>
    </row>
    <row r="21" spans="1:7" x14ac:dyDescent="0.2">
      <c r="A21">
        <v>50</v>
      </c>
      <c r="B21">
        <v>90</v>
      </c>
      <c r="C21">
        <v>27.61</v>
      </c>
      <c r="D21">
        <v>2.4262E-4</v>
      </c>
      <c r="E21">
        <v>1.5642900000000001E-3</v>
      </c>
      <c r="F21">
        <v>0.15509999999999999</v>
      </c>
      <c r="G21">
        <v>11.95</v>
      </c>
    </row>
    <row r="22" spans="1:7" x14ac:dyDescent="0.2">
      <c r="A22">
        <v>51</v>
      </c>
      <c r="B22">
        <v>90</v>
      </c>
      <c r="C22">
        <v>26.36</v>
      </c>
      <c r="D22">
        <v>2.6753999999999998E-4</v>
      </c>
      <c r="E22">
        <v>1.6464299999999999E-3</v>
      </c>
      <c r="F22">
        <v>0.16250000000000001</v>
      </c>
      <c r="G22">
        <v>11.34</v>
      </c>
    </row>
    <row r="23" spans="1:7" x14ac:dyDescent="0.2">
      <c r="A23">
        <v>52</v>
      </c>
      <c r="B23">
        <v>90</v>
      </c>
      <c r="C23">
        <v>26.97</v>
      </c>
      <c r="D23">
        <v>2.6150000000000001E-4</v>
      </c>
      <c r="E23">
        <v>1.6092000000000001E-3</v>
      </c>
      <c r="F23">
        <v>0.16250000000000001</v>
      </c>
      <c r="G23">
        <v>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selected_all_samples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Acharya, Durga</cp:lastModifiedBy>
  <dcterms:created xsi:type="dcterms:W3CDTF">2026-03-16T13:09:56Z</dcterms:created>
  <dcterms:modified xsi:type="dcterms:W3CDTF">2026-09-02T15:51:58Z</dcterms:modified>
</cp:coreProperties>
</file>